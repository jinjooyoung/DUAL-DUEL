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d" sheetId="1" r:id="rId5"/>
    <sheet state="visible" name="Character" sheetId="2" r:id="rId6"/>
    <sheet state="visible" name="Reward" sheetId="3" r:id="rId7"/>
    <sheet state="visible" name="Localization" sheetId="4" r:id="rId8"/>
    <sheet state="visible" name="Monster" sheetId="5" r:id="rId9"/>
    <sheet state="visible" name="전투 데이터" sheetId="6" r:id="rId10"/>
    <sheet state="visible" name="UI 데이터" sheetId="7" r:id="rId11"/>
    <sheet state="visible" name="슬롯 데이터" sheetId="8" r:id="rId12"/>
    <sheet state="visible" name="스테이지 데이터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Attack / Defense / Heal / Buff / Debuff
5종류 끝</t>
      </text>
    </comment>
    <comment authorId="0" ref="C1">
      <text>
        <t xml:space="preserve">1~6 높을수록 좋은 등급.
인게임에서는 Enum으로 관리하지만 테이블에는 숫자로 작성. 순서대로(Common / Uncommon / Rare / Epic / Legendary / Mythic) </t>
      </text>
    </comment>
    <comment authorId="0" ref="D1">
      <text>
        <t xml:space="preserve">Localization 시트에서 해당 키를 기준으로 설정된 언어의 열에 있는 string을 적용하도록 함.
항상 NAME_P또는E_ID 로 통일</t>
      </text>
    </comment>
    <comment authorId="0" ref="L1">
      <text>
        <t xml:space="preserve">bool
사용 후 소멸 여부
소멸 : 이번 전투동안 사용 불가. 덱에서 영구 제거는 아님</t>
      </text>
    </comment>
    <comment authorId="0" ref="M1">
      <text>
        <t xml:space="preserve">string으로 받은 뒤 Enum으로 사용
특수효과 조건 타입
None 조건 없이 시전
SlotIndexRestriction 슬롯 인덱스 검사 
NeighborCardType 인접 슬롯 배치된 카드 타입 검사
HandCondition 드로우 된 핸드덱 타입 검사
PrevSlotOwner 인접 슬롯 타입 검사</t>
      </text>
    </comment>
    <comment authorId="0" ref="N1">
      <text>
        <t xml:space="preserve">string으로 받은 뒤 conditionCategory에 따라 int, Enum, 배열 등 타입 달라짐
특수효과 조건 파라미터
</t>
      </text>
    </comment>
    <comment authorId="0" ref="O1">
      <text>
        <t xml:space="preserve">string으로 받은 뒤 Enum으로 사용
조건 충족 시 보상타입
None 보상 없음
FlatBonus 정수 밸류 가산 (+N)
Multiplier 밸류 곱연산 (*N)
RepeatCast 해당 카드 N회 다중 시전
TriggerNeighborSlot 인접 카드 추가 시전
ModifyNextDraw 다음 턴 드로우 +N
ApplyBuffDebuff 버프/ 디버프 부여</t>
      </text>
    </comment>
    <comment authorId="0" ref="P1">
      <text>
        <t xml:space="preserve">rewardCategory에 따라 int 또는 float
보상의 계수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int 캐릭터 고유 ID
플레이어는 1000번대</t>
      </text>
    </comment>
    <comment authorId="0" ref="B1">
      <text>
        <t xml:space="preserve">string 캐릭터 이름 텍스트 키</t>
      </text>
    </comment>
    <comment authorId="0" ref="C1">
      <text>
        <t xml:space="preserve">string 캐릭터 배경 설정 텍스트 키</t>
      </text>
    </comment>
    <comment authorId="0" ref="D1">
      <text>
        <t xml:space="preserve">string 플레이 스타일 설명 텍스트 키</t>
      </text>
    </comment>
    <comment authorId="0" ref="E1">
      <text>
        <t xml:space="preserve">List&lt;int&gt;  (엑셀에서는 ;로 구분한 정수로 작성)
초기 덱 카드 ID 리스트</t>
      </text>
    </comment>
    <comment authorId="0" ref="F1">
      <text>
        <t xml:space="preserve">int 목업 UI 좌측 하단의 '캐릭터 대표카드 미리보기'에 띄워줄 시그니처 카드 ID</t>
      </text>
    </comment>
    <comment authorId="0" ref="G1">
      <text>
        <t xml:space="preserve">int 전투 당 캐릭터별 최대 체력 (기본 50)
(새 전투 시작 시 최댓값으로 채워짐)</t>
      </text>
    </comment>
    <comment authorId="0" ref="H1">
      <text>
        <t xml:space="preserve">int 전투 패배 시 감소하는 게임 당 플레이어 목숨(전체 게임 오버 판정용, 기본 3)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int 몬스터 고유 ID
몬스터는 2000번대</t>
      </text>
    </comment>
    <comment authorId="0" ref="B1">
      <text>
        <t xml:space="preserve">string monster 이름 텍스트 키</t>
      </text>
    </comment>
    <comment authorId="0" ref="C1">
      <text>
        <t xml:space="preserve">int 전투 당 캐릭터별 최대 체력 (기본 50)
(새 전투 시작 시 최댓값으로 채워짐)</t>
      </text>
    </comment>
    <comment authorId="0" ref="D1">
      <text>
        <t xml:space="preserve">슬롯 데이터 테이블의 슬롯 가중치 타입</t>
      </text>
    </comment>
    <comment authorId="0" ref="E1">
      <text>
        <t xml:space="preserve">나중에 추가할 기믹
이 몬스터가 이번 전투 동안 일시적으로 덱에 추가할 카드 id</t>
      </text>
    </comment>
    <comment authorId="0" ref="F1">
      <text>
        <t xml:space="preserve">처치 시 보상 카드 최소 랭크</t>
      </text>
    </comment>
    <comment authorId="0" ref="G1">
      <text>
        <t xml:space="preserve">나중에 붙일 특수 기믹 타입
(예 : None, Spike, LockSlot, Hacking)</t>
      </text>
    </comment>
    <comment authorId="0" ref="H1">
      <text>
        <t xml:space="preserve">기믹에 들어갈 수치 변수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나올 확률이 가장 높은 적 슬롯 개수를 적어둠.</t>
      </text>
    </comment>
    <comment authorId="0" ref="A7">
      <text>
        <t xml:space="preserve">극한의 위기. 보스 난이도</t>
      </text>
    </comment>
    <comment authorId="0" ref="A6">
      <text>
        <t xml:space="preserve">앨리트 압박. 위험 난이도</t>
      </text>
    </comment>
    <comment authorId="0" ref="A5">
      <text>
        <t xml:space="preserve">표준 전투 난이도</t>
      </text>
    </comment>
    <comment authorId="0" ref="A4">
      <text>
        <t xml:space="preserve">초반부 난이도
</t>
      </text>
    </comment>
    <comment authorId="0" ref="A3">
      <text>
        <t xml:space="preserve">튜토리얼 직후 난이도</t>
      </text>
    </comment>
    <comment authorId="0" ref="A2">
      <text>
        <t xml:space="preserve">유저 프리딜 / 튜토리얼 난이도</t>
      </text>
    </comment>
  </commentList>
</comments>
</file>

<file path=xl/sharedStrings.xml><?xml version="1.0" encoding="utf-8"?>
<sst xmlns="http://schemas.openxmlformats.org/spreadsheetml/2006/main" count="215" uniqueCount="116">
  <si>
    <t>cardId</t>
  </si>
  <si>
    <t>구상중</t>
  </si>
  <si>
    <t>characterID</t>
  </si>
  <si>
    <t>cardType</t>
  </si>
  <si>
    <t>characterName</t>
  </si>
  <si>
    <t>descriptionText</t>
  </si>
  <si>
    <t>playStyleText</t>
  </si>
  <si>
    <t>rank</t>
  </si>
  <si>
    <t>startDeckID</t>
  </si>
  <si>
    <t>signatureCardID</t>
  </si>
  <si>
    <t>maxHp</t>
  </si>
  <si>
    <t>nameKey</t>
  </si>
  <si>
    <t>startingLife</t>
  </si>
  <si>
    <t>descKey</t>
  </si>
  <si>
    <t>baseValue</t>
  </si>
  <si>
    <t>upgrade_1</t>
  </si>
  <si>
    <t>upgrade_2</t>
  </si>
  <si>
    <t>upgrade_3</t>
  </si>
  <si>
    <t>upgrade_4</t>
  </si>
  <si>
    <t>upgrade_5</t>
  </si>
  <si>
    <t>isExhaust</t>
  </si>
  <si>
    <t>conditionCategory</t>
  </si>
  <si>
    <t>conditionParam</t>
  </si>
  <si>
    <t>rewardCategory</t>
  </si>
  <si>
    <t>rewardParam</t>
  </si>
  <si>
    <t>KO</t>
  </si>
  <si>
    <t>EN</t>
  </si>
  <si>
    <t>JP</t>
  </si>
  <si>
    <t>ATTACK_KEY</t>
  </si>
  <si>
    <t>공격</t>
  </si>
  <si>
    <t>Attack</t>
  </si>
  <si>
    <t>DEFENSE_KEY</t>
  </si>
  <si>
    <t>방어</t>
  </si>
  <si>
    <t>Defense</t>
  </si>
  <si>
    <t>HEAL_KEY</t>
  </si>
  <si>
    <t>회복</t>
  </si>
  <si>
    <t>Heal</t>
  </si>
  <si>
    <t>BUFF_KEY</t>
  </si>
  <si>
    <t>강화</t>
  </si>
  <si>
    <t>Buff</t>
  </si>
  <si>
    <t>DEBUFF_KEY</t>
  </si>
  <si>
    <t>약화</t>
  </si>
  <si>
    <t>Debuff</t>
  </si>
  <si>
    <t>SPECIAL_KEY</t>
  </si>
  <si>
    <t>특수</t>
  </si>
  <si>
    <t>Special</t>
  </si>
  <si>
    <t>0;1;2;4;5;8;10;12</t>
  </si>
  <si>
    <t>None</t>
  </si>
  <si>
    <t>잽</t>
  </si>
  <si>
    <t>Jap</t>
  </si>
  <si>
    <t>스트라이크</t>
  </si>
  <si>
    <t>Strike</t>
  </si>
  <si>
    <t>SlotIndexRestriction</t>
  </si>
  <si>
    <t>브루트 포스</t>
  </si>
  <si>
    <t>0,4</t>
  </si>
  <si>
    <t>Brute Force</t>
  </si>
  <si>
    <t>FlatBonus</t>
  </si>
  <si>
    <t>해비 스매시</t>
  </si>
  <si>
    <t>Heavy Smash</t>
  </si>
  <si>
    <t>흘리기</t>
  </si>
  <si>
    <t>Evade</t>
  </si>
  <si>
    <t>NeighborCardType</t>
  </si>
  <si>
    <t>가드</t>
  </si>
  <si>
    <t>Guard</t>
  </si>
  <si>
    <t>Multiplier</t>
  </si>
  <si>
    <t>카운터 가드</t>
  </si>
  <si>
    <t>Counter Guard</t>
  </si>
  <si>
    <t>PrevSlotOwner</t>
  </si>
  <si>
    <t>아이언 월</t>
  </si>
  <si>
    <t>Player</t>
  </si>
  <si>
    <t>Iron Wall</t>
  </si>
  <si>
    <t>RepeatCast</t>
  </si>
  <si>
    <t>응급 처치</t>
  </si>
  <si>
    <t>Regeneration</t>
  </si>
  <si>
    <t>TriggerNeighborSlot</t>
  </si>
  <si>
    <t>monsterID</t>
  </si>
  <si>
    <t>오버클럭</t>
  </si>
  <si>
    <t>Overclock</t>
  </si>
  <si>
    <t>파워업</t>
  </si>
  <si>
    <t>Power Up</t>
  </si>
  <si>
    <t>monsterName</t>
  </si>
  <si>
    <t>약화 바이러스</t>
  </si>
  <si>
    <t>Weakening Virus</t>
  </si>
  <si>
    <t>해킹</t>
  </si>
  <si>
    <t>Hacking</t>
  </si>
  <si>
    <t>slotCreateType</t>
  </si>
  <si>
    <t>Enemy</t>
  </si>
  <si>
    <t>ModifyNextDraw</t>
  </si>
  <si>
    <t>monsterDeckID</t>
  </si>
  <si>
    <t>rewardCardRank</t>
  </si>
  <si>
    <t>상대에게 [Value] 피해를 준다.</t>
  </si>
  <si>
    <t>Deal [Value] damage to the opponent.</t>
  </si>
  <si>
    <t>gimmickType</t>
  </si>
  <si>
    <t>gimmickValue</t>
  </si>
  <si>
    <t>ApplyBuffDebuff</t>
  </si>
  <si>
    <t>HandCount</t>
  </si>
  <si>
    <t>Count&gt;=5</t>
  </si>
  <si>
    <t>받는 피해를 [Value] 감소시킨다.</t>
  </si>
  <si>
    <t>Take [Value] less damage.</t>
  </si>
  <si>
    <t>HandType</t>
  </si>
  <si>
    <t>Attack&gt;=4</t>
  </si>
  <si>
    <t>HP를 [Value] 회복한다.</t>
  </si>
  <si>
    <t>Heal [Value] HP.</t>
  </si>
  <si>
    <t>다음에 실행되는 같은 슬롯 카드의 효과를 [Value] 증가시킨다.</t>
  </si>
  <si>
    <t>Increase the next card's effect in this slot by [Value].</t>
  </si>
  <si>
    <t>다음에 실행되는 반대 슬롯 카드의 효과를 [Value] 감소시킨다.</t>
  </si>
  <si>
    <t>Reduce the opponent's next card effect in the opposite slot by [Value].</t>
  </si>
  <si>
    <t xml:space="preserve">72페이지 </t>
  </si>
  <si>
    <t xml:space="preserve">93페이지 </t>
  </si>
  <si>
    <t>M0</t>
  </si>
  <si>
    <t>M1</t>
  </si>
  <si>
    <t>M2</t>
  </si>
  <si>
    <t>M3</t>
  </si>
  <si>
    <t>M4</t>
  </si>
  <si>
    <t>M5</t>
  </si>
  <si>
    <t>45페이지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</si>
</sst>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1F1F1F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4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2.63"/>
    <col customWidth="1" min="13" max="13" width="16.63"/>
    <col customWidth="1" min="15" max="15" width="15.38"/>
  </cols>
  <sheetData>
    <row r="1">
      <c r="A1" s="1" t="s">
        <v>0</v>
      </c>
      <c r="B1" s="2" t="s">
        <v>3</v>
      </c>
      <c r="C1" s="3" t="s">
        <v>7</v>
      </c>
      <c r="D1" s="1" t="s">
        <v>11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</row>
    <row r="2">
      <c r="A2" s="1">
        <v>0.0</v>
      </c>
      <c r="B2" s="2" t="s">
        <v>30</v>
      </c>
      <c r="C2" s="3">
        <v>1.0</v>
      </c>
      <c r="D2" s="1" t="str">
        <f t="shared" ref="D2:D10" si="1">"CARDNAME_"&amp;A2</f>
        <v>CARDNAME_0</v>
      </c>
      <c r="E2" s="1" t="str">
        <f t="shared" ref="E2:E10" si="2">"CARDDESC_"&amp;A2</f>
        <v>CARDDESC_0</v>
      </c>
      <c r="F2" s="1">
        <v>2.0</v>
      </c>
      <c r="G2" s="1">
        <v>3.0</v>
      </c>
      <c r="H2" s="1">
        <v>4.0</v>
      </c>
      <c r="I2" s="1">
        <v>5.0</v>
      </c>
      <c r="J2" s="1">
        <v>6.0</v>
      </c>
      <c r="K2" s="1">
        <v>7.0</v>
      </c>
      <c r="L2" s="1" t="b">
        <v>0</v>
      </c>
      <c r="M2" s="1" t="s">
        <v>47</v>
      </c>
      <c r="O2" s="1" t="s">
        <v>47</v>
      </c>
    </row>
    <row r="3">
      <c r="A3" s="1">
        <v>1.0</v>
      </c>
      <c r="B3" s="2" t="s">
        <v>30</v>
      </c>
      <c r="C3" s="3">
        <v>2.0</v>
      </c>
      <c r="D3" s="1" t="str">
        <f t="shared" si="1"/>
        <v>CARDNAME_1</v>
      </c>
      <c r="E3" s="1" t="str">
        <f t="shared" si="2"/>
        <v>CARDDESC_1</v>
      </c>
      <c r="F3" s="1">
        <v>6.0</v>
      </c>
      <c r="G3" s="1">
        <v>7.0</v>
      </c>
      <c r="H3" s="1">
        <v>8.0</v>
      </c>
      <c r="I3" s="1">
        <v>9.0</v>
      </c>
      <c r="J3" s="1">
        <v>10.0</v>
      </c>
      <c r="K3" s="1">
        <v>12.0</v>
      </c>
      <c r="L3" s="1" t="b">
        <v>0</v>
      </c>
      <c r="M3" s="1" t="s">
        <v>52</v>
      </c>
      <c r="N3" s="5" t="s">
        <v>54</v>
      </c>
      <c r="O3" s="1" t="s">
        <v>56</v>
      </c>
      <c r="P3" s="6">
        <v>4.0</v>
      </c>
    </row>
    <row r="4">
      <c r="A4" s="1">
        <v>2.0</v>
      </c>
      <c r="B4" s="2" t="s">
        <v>30</v>
      </c>
      <c r="C4" s="3">
        <v>3.0</v>
      </c>
      <c r="D4" s="1" t="str">
        <f t="shared" si="1"/>
        <v>CARDNAME_2</v>
      </c>
      <c r="E4" s="1" t="str">
        <f t="shared" si="2"/>
        <v>CARDDESC_2</v>
      </c>
      <c r="F4" s="1">
        <v>8.0</v>
      </c>
      <c r="G4" s="1">
        <v>9.0</v>
      </c>
      <c r="H4" s="1">
        <v>11.0</v>
      </c>
      <c r="I4" s="1">
        <v>13.0</v>
      </c>
      <c r="J4" s="1">
        <v>15.0</v>
      </c>
      <c r="K4" s="1">
        <v>18.0</v>
      </c>
      <c r="L4" s="1" t="b">
        <v>0</v>
      </c>
      <c r="M4" s="1" t="s">
        <v>61</v>
      </c>
      <c r="N4" s="7" t="s">
        <v>30</v>
      </c>
      <c r="O4" s="1" t="s">
        <v>64</v>
      </c>
      <c r="P4" s="6">
        <v>2.0</v>
      </c>
    </row>
    <row r="5">
      <c r="A5" s="1">
        <v>3.0</v>
      </c>
      <c r="B5" s="2" t="s">
        <v>30</v>
      </c>
      <c r="C5" s="3">
        <v>4.0</v>
      </c>
      <c r="D5" s="1" t="str">
        <f t="shared" si="1"/>
        <v>CARDNAME_3</v>
      </c>
      <c r="E5" s="1" t="str">
        <f t="shared" si="2"/>
        <v>CARDDESC_3</v>
      </c>
      <c r="F5" s="1">
        <v>12.0</v>
      </c>
      <c r="G5" s="1">
        <v>14.0</v>
      </c>
      <c r="H5" s="1">
        <v>16.0</v>
      </c>
      <c r="I5" s="1">
        <v>18.0</v>
      </c>
      <c r="J5" s="1">
        <v>20.0</v>
      </c>
      <c r="K5" s="1">
        <v>24.0</v>
      </c>
      <c r="L5" s="1" t="b">
        <v>0</v>
      </c>
      <c r="M5" s="1" t="s">
        <v>67</v>
      </c>
      <c r="N5" s="7" t="s">
        <v>69</v>
      </c>
      <c r="O5" s="1" t="s">
        <v>71</v>
      </c>
      <c r="P5" s="6">
        <v>3.0</v>
      </c>
    </row>
    <row r="6">
      <c r="A6" s="1">
        <v>4.0</v>
      </c>
      <c r="B6" s="2" t="s">
        <v>33</v>
      </c>
      <c r="C6" s="3">
        <v>1.0</v>
      </c>
      <c r="D6" s="1" t="str">
        <f t="shared" si="1"/>
        <v>CARDNAME_4</v>
      </c>
      <c r="E6" s="1" t="str">
        <f t="shared" si="2"/>
        <v>CARDDESC_4</v>
      </c>
      <c r="F6" s="1">
        <v>2.0</v>
      </c>
      <c r="G6" s="1">
        <v>3.0</v>
      </c>
      <c r="H6" s="1">
        <v>4.0</v>
      </c>
      <c r="I6" s="1">
        <v>5.0</v>
      </c>
      <c r="J6" s="1">
        <v>6.0</v>
      </c>
      <c r="K6" s="1">
        <v>7.0</v>
      </c>
      <c r="L6" s="1" t="b">
        <v>0</v>
      </c>
      <c r="M6" s="1" t="s">
        <v>47</v>
      </c>
      <c r="N6" s="7"/>
      <c r="O6" s="1" t="s">
        <v>74</v>
      </c>
      <c r="P6" s="6">
        <v>0.0</v>
      </c>
    </row>
    <row r="7">
      <c r="A7" s="1">
        <v>5.0</v>
      </c>
      <c r="B7" s="2" t="s">
        <v>33</v>
      </c>
      <c r="C7" s="3">
        <v>3.0</v>
      </c>
      <c r="D7" s="1" t="str">
        <f t="shared" si="1"/>
        <v>CARDNAME_5</v>
      </c>
      <c r="E7" s="1" t="str">
        <f t="shared" si="2"/>
        <v>CARDDESC_5</v>
      </c>
      <c r="F7" s="1">
        <v>3.0</v>
      </c>
      <c r="G7" s="1">
        <v>4.0</v>
      </c>
      <c r="H7" s="1">
        <v>5.0</v>
      </c>
      <c r="I7" s="1">
        <v>6.0</v>
      </c>
      <c r="J7" s="1">
        <v>7.0</v>
      </c>
      <c r="K7" s="1">
        <v>9.0</v>
      </c>
      <c r="L7" s="1" t="b">
        <v>0</v>
      </c>
      <c r="M7" s="1" t="s">
        <v>67</v>
      </c>
      <c r="N7" s="7" t="s">
        <v>86</v>
      </c>
      <c r="O7" s="1" t="s">
        <v>87</v>
      </c>
      <c r="P7" s="6">
        <v>1.0</v>
      </c>
    </row>
    <row r="8">
      <c r="A8" s="1">
        <v>6.0</v>
      </c>
      <c r="B8" s="2" t="s">
        <v>36</v>
      </c>
      <c r="C8" s="3">
        <v>3.0</v>
      </c>
      <c r="D8" s="1" t="str">
        <f t="shared" si="1"/>
        <v>CARDNAME_6</v>
      </c>
      <c r="E8" s="1" t="str">
        <f t="shared" si="2"/>
        <v>CARDDESC_6</v>
      </c>
      <c r="F8" s="1">
        <v>5.0</v>
      </c>
      <c r="G8" s="1">
        <v>6.0</v>
      </c>
      <c r="H8" s="1">
        <v>7.0</v>
      </c>
      <c r="I8" s="1">
        <v>8.0</v>
      </c>
      <c r="J8" s="1">
        <v>9.0</v>
      </c>
      <c r="K8" s="1">
        <v>11.0</v>
      </c>
      <c r="L8" s="1" t="b">
        <v>0</v>
      </c>
      <c r="M8" s="1" t="s">
        <v>52</v>
      </c>
      <c r="N8" s="8">
        <v>1.0</v>
      </c>
      <c r="O8" s="1" t="s">
        <v>94</v>
      </c>
    </row>
    <row r="9">
      <c r="A9" s="1">
        <v>7.0</v>
      </c>
      <c r="B9" s="2" t="s">
        <v>39</v>
      </c>
      <c r="C9" s="3">
        <v>4.0</v>
      </c>
      <c r="D9" s="1" t="str">
        <f t="shared" si="1"/>
        <v>CARDNAME_7</v>
      </c>
      <c r="E9" s="1" t="str">
        <f t="shared" si="2"/>
        <v>CARDDESC_7</v>
      </c>
      <c r="F9" s="1">
        <v>10.0</v>
      </c>
      <c r="G9" s="1">
        <v>12.0</v>
      </c>
      <c r="H9" s="1">
        <v>14.0</v>
      </c>
      <c r="I9" s="1">
        <v>16.0</v>
      </c>
      <c r="J9" s="1">
        <v>18.0</v>
      </c>
      <c r="K9" s="1">
        <v>21.0</v>
      </c>
      <c r="L9" s="1" t="b">
        <v>0</v>
      </c>
      <c r="M9" s="1" t="s">
        <v>95</v>
      </c>
      <c r="N9" s="8" t="s">
        <v>96</v>
      </c>
      <c r="O9" s="1" t="s">
        <v>47</v>
      </c>
      <c r="P9" s="6">
        <v>2.0</v>
      </c>
    </row>
    <row r="10">
      <c r="A10" s="1">
        <v>8.0</v>
      </c>
      <c r="B10" s="2" t="s">
        <v>42</v>
      </c>
      <c r="C10" s="3">
        <v>3.0</v>
      </c>
      <c r="D10" s="1" t="str">
        <f t="shared" si="1"/>
        <v>CARDNAME_8</v>
      </c>
      <c r="E10" s="1" t="str">
        <f t="shared" si="2"/>
        <v>CARDDESC_8</v>
      </c>
      <c r="F10" s="1">
        <v>2.0</v>
      </c>
      <c r="G10" s="1">
        <v>3.0</v>
      </c>
      <c r="H10" s="1">
        <v>4.0</v>
      </c>
      <c r="I10" s="1">
        <v>5.0</v>
      </c>
      <c r="J10" s="1">
        <v>6.0</v>
      </c>
      <c r="K10" s="1">
        <v>8.0</v>
      </c>
      <c r="L10" s="1" t="b">
        <v>0</v>
      </c>
      <c r="M10" s="1" t="s">
        <v>99</v>
      </c>
      <c r="N10" s="1" t="s">
        <v>100</v>
      </c>
      <c r="O10" s="1" t="s">
        <v>47</v>
      </c>
    </row>
    <row r="11">
      <c r="B11" s="9"/>
      <c r="C11" s="10"/>
      <c r="L11" s="4"/>
      <c r="M11" s="1" t="s">
        <v>47</v>
      </c>
      <c r="O11" s="1" t="s">
        <v>47</v>
      </c>
    </row>
    <row r="12">
      <c r="B12" s="9"/>
      <c r="C12" s="10"/>
      <c r="L12" s="4"/>
      <c r="M12" s="1" t="s">
        <v>47</v>
      </c>
      <c r="O12" s="1" t="s">
        <v>47</v>
      </c>
    </row>
    <row r="13">
      <c r="B13" s="9"/>
      <c r="C13" s="10"/>
      <c r="L13" s="4"/>
      <c r="M13" s="1" t="s">
        <v>47</v>
      </c>
      <c r="O13" s="1" t="s">
        <v>47</v>
      </c>
    </row>
    <row r="14">
      <c r="B14" s="9"/>
      <c r="C14" s="10"/>
      <c r="L14" s="4"/>
      <c r="M14" s="1" t="s">
        <v>47</v>
      </c>
      <c r="O14" s="1" t="s">
        <v>47</v>
      </c>
    </row>
    <row r="15">
      <c r="B15" s="9"/>
      <c r="C15" s="10"/>
      <c r="L15" s="4"/>
      <c r="M15" s="1" t="s">
        <v>47</v>
      </c>
      <c r="O15" s="1" t="s">
        <v>47</v>
      </c>
    </row>
    <row r="16">
      <c r="B16" s="9"/>
      <c r="C16" s="10"/>
      <c r="L16" s="4"/>
      <c r="M16" s="1" t="s">
        <v>47</v>
      </c>
      <c r="O16" s="1" t="s">
        <v>47</v>
      </c>
    </row>
    <row r="17">
      <c r="B17" s="9"/>
      <c r="C17" s="10"/>
      <c r="L17" s="4"/>
      <c r="M17" s="1" t="s">
        <v>47</v>
      </c>
      <c r="O17" s="1" t="s">
        <v>47</v>
      </c>
    </row>
    <row r="18">
      <c r="B18" s="9"/>
      <c r="C18" s="10"/>
      <c r="L18" s="4"/>
      <c r="M18" s="1" t="s">
        <v>47</v>
      </c>
      <c r="O18" s="1" t="s">
        <v>47</v>
      </c>
    </row>
    <row r="19">
      <c r="B19" s="9"/>
      <c r="C19" s="10"/>
      <c r="L19" s="4"/>
      <c r="M19" s="1" t="s">
        <v>47</v>
      </c>
      <c r="O19" s="1" t="s">
        <v>47</v>
      </c>
    </row>
    <row r="20">
      <c r="B20" s="9"/>
      <c r="C20" s="10"/>
      <c r="L20" s="4"/>
      <c r="M20" s="1" t="s">
        <v>47</v>
      </c>
      <c r="O20" s="1" t="s">
        <v>47</v>
      </c>
    </row>
    <row r="21">
      <c r="B21" s="9"/>
      <c r="C21" s="10"/>
      <c r="L21" s="4"/>
      <c r="M21" s="1" t="s">
        <v>47</v>
      </c>
      <c r="O21" s="1" t="s">
        <v>47</v>
      </c>
    </row>
    <row r="22">
      <c r="B22" s="9"/>
      <c r="C22" s="10"/>
      <c r="L22" s="4"/>
      <c r="M22" s="1" t="s">
        <v>47</v>
      </c>
      <c r="O22" s="1" t="s">
        <v>47</v>
      </c>
    </row>
    <row r="23">
      <c r="B23" s="9"/>
      <c r="C23" s="10"/>
      <c r="L23" s="4"/>
      <c r="M23" s="1" t="s">
        <v>47</v>
      </c>
      <c r="O23" s="1" t="s">
        <v>47</v>
      </c>
    </row>
    <row r="24">
      <c r="B24" s="9"/>
      <c r="C24" s="10"/>
      <c r="L24" s="4"/>
      <c r="M24" s="1" t="s">
        <v>47</v>
      </c>
      <c r="O24" s="1" t="s">
        <v>47</v>
      </c>
    </row>
    <row r="25">
      <c r="B25" s="9"/>
      <c r="C25" s="10"/>
      <c r="L25" s="4"/>
      <c r="M25" s="1" t="s">
        <v>47</v>
      </c>
      <c r="O25" s="1" t="s">
        <v>47</v>
      </c>
    </row>
    <row r="26">
      <c r="B26" s="9"/>
      <c r="C26" s="10"/>
      <c r="L26" s="4"/>
      <c r="M26" s="1" t="s">
        <v>47</v>
      </c>
      <c r="O26" s="1" t="s">
        <v>47</v>
      </c>
    </row>
    <row r="27">
      <c r="B27" s="9"/>
      <c r="C27" s="10"/>
      <c r="L27" s="4"/>
      <c r="M27" s="1" t="s">
        <v>47</v>
      </c>
      <c r="O27" s="1" t="s">
        <v>47</v>
      </c>
    </row>
    <row r="28">
      <c r="B28" s="9"/>
      <c r="C28" s="10"/>
      <c r="L28" s="4"/>
      <c r="M28" s="1" t="s">
        <v>47</v>
      </c>
      <c r="O28" s="1" t="s">
        <v>47</v>
      </c>
    </row>
    <row r="29">
      <c r="B29" s="9"/>
      <c r="C29" s="10"/>
      <c r="L29" s="4"/>
      <c r="M29" s="1" t="s">
        <v>47</v>
      </c>
      <c r="O29" s="1" t="s">
        <v>47</v>
      </c>
    </row>
    <row r="30">
      <c r="B30" s="9"/>
      <c r="C30" s="10"/>
      <c r="L30" s="4"/>
      <c r="M30" s="1" t="s">
        <v>47</v>
      </c>
      <c r="O30" s="1" t="s">
        <v>47</v>
      </c>
    </row>
    <row r="31">
      <c r="B31" s="9"/>
      <c r="C31" s="10"/>
      <c r="L31" s="4"/>
      <c r="M31" s="1" t="s">
        <v>47</v>
      </c>
      <c r="O31" s="1" t="s">
        <v>47</v>
      </c>
    </row>
    <row r="32">
      <c r="B32" s="9"/>
      <c r="C32" s="10"/>
      <c r="L32" s="4"/>
      <c r="M32" s="1" t="s">
        <v>47</v>
      </c>
      <c r="O32" s="1" t="s">
        <v>47</v>
      </c>
    </row>
    <row r="33">
      <c r="B33" s="9"/>
      <c r="C33" s="10"/>
      <c r="L33" s="4"/>
      <c r="M33" s="1" t="s">
        <v>47</v>
      </c>
      <c r="O33" s="1" t="s">
        <v>47</v>
      </c>
    </row>
    <row r="34">
      <c r="B34" s="9"/>
      <c r="C34" s="10"/>
      <c r="L34" s="4"/>
      <c r="M34" s="1" t="s">
        <v>47</v>
      </c>
      <c r="O34" s="1" t="s">
        <v>47</v>
      </c>
    </row>
    <row r="35">
      <c r="B35" s="9"/>
      <c r="C35" s="10"/>
      <c r="L35" s="4"/>
      <c r="M35" s="1" t="s">
        <v>47</v>
      </c>
      <c r="O35" s="1" t="s">
        <v>47</v>
      </c>
    </row>
    <row r="36">
      <c r="B36" s="9"/>
      <c r="C36" s="10"/>
      <c r="L36" s="4"/>
      <c r="M36" s="1" t="s">
        <v>47</v>
      </c>
      <c r="O36" s="1" t="s">
        <v>47</v>
      </c>
    </row>
    <row r="37">
      <c r="B37" s="9"/>
      <c r="C37" s="10"/>
      <c r="L37" s="4"/>
      <c r="M37" s="1" t="s">
        <v>47</v>
      </c>
      <c r="O37" s="1" t="s">
        <v>47</v>
      </c>
    </row>
    <row r="38">
      <c r="B38" s="9"/>
      <c r="C38" s="10"/>
      <c r="L38" s="4"/>
      <c r="M38" s="1" t="s">
        <v>47</v>
      </c>
      <c r="O38" s="1" t="s">
        <v>47</v>
      </c>
    </row>
    <row r="39">
      <c r="B39" s="9"/>
      <c r="C39" s="10"/>
      <c r="L39" s="4"/>
      <c r="M39" s="1" t="s">
        <v>47</v>
      </c>
      <c r="O39" s="1" t="s">
        <v>47</v>
      </c>
    </row>
    <row r="40">
      <c r="B40" s="9"/>
      <c r="C40" s="10"/>
      <c r="L40" s="4"/>
      <c r="M40" s="1" t="s">
        <v>47</v>
      </c>
      <c r="O40" s="4"/>
    </row>
    <row r="41">
      <c r="B41" s="9"/>
      <c r="C41" s="10"/>
      <c r="L41" s="4"/>
      <c r="M41" s="4"/>
      <c r="O41" s="4"/>
    </row>
    <row r="42">
      <c r="B42" s="9"/>
      <c r="C42" s="10"/>
      <c r="L42" s="4"/>
      <c r="M42" s="4"/>
      <c r="O42" s="4"/>
    </row>
    <row r="43">
      <c r="B43" s="9"/>
      <c r="C43" s="10"/>
      <c r="L43" s="4"/>
      <c r="M43" s="4"/>
      <c r="O43" s="4"/>
    </row>
    <row r="44">
      <c r="B44" s="9"/>
      <c r="C44" s="10"/>
      <c r="L44" s="4"/>
      <c r="M44" s="4"/>
      <c r="O44" s="4"/>
    </row>
    <row r="45">
      <c r="B45" s="9"/>
      <c r="C45" s="10"/>
      <c r="L45" s="4"/>
      <c r="M45" s="4"/>
      <c r="O45" s="4"/>
    </row>
    <row r="46">
      <c r="B46" s="9"/>
      <c r="C46" s="10"/>
      <c r="L46" s="4"/>
      <c r="M46" s="4"/>
      <c r="O46" s="4"/>
    </row>
    <row r="47">
      <c r="B47" s="9"/>
      <c r="C47" s="10"/>
      <c r="L47" s="4"/>
      <c r="M47" s="4"/>
      <c r="O47" s="4"/>
    </row>
    <row r="48">
      <c r="B48" s="9"/>
      <c r="C48" s="10"/>
      <c r="L48" s="4"/>
      <c r="M48" s="4"/>
      <c r="O48" s="4"/>
    </row>
    <row r="49">
      <c r="B49" s="9"/>
      <c r="C49" s="10"/>
      <c r="L49" s="4"/>
      <c r="M49" s="4"/>
      <c r="O49" s="4"/>
    </row>
    <row r="50">
      <c r="B50" s="9"/>
      <c r="C50" s="10"/>
      <c r="L50" s="4"/>
      <c r="M50" s="4"/>
      <c r="O50" s="4"/>
    </row>
    <row r="51">
      <c r="B51" s="9"/>
      <c r="C51" s="10"/>
      <c r="L51" s="4"/>
      <c r="M51" s="4"/>
      <c r="O51" s="4"/>
    </row>
    <row r="52">
      <c r="B52" s="9"/>
      <c r="C52" s="10"/>
      <c r="L52" s="4"/>
      <c r="M52" s="4"/>
      <c r="O52" s="4"/>
    </row>
    <row r="53">
      <c r="B53" s="9"/>
      <c r="C53" s="10"/>
      <c r="L53" s="4"/>
      <c r="M53" s="4"/>
      <c r="O53" s="4"/>
    </row>
    <row r="54">
      <c r="B54" s="9"/>
      <c r="C54" s="10"/>
      <c r="L54" s="4"/>
      <c r="M54" s="4"/>
      <c r="O54" s="4"/>
    </row>
    <row r="55">
      <c r="B55" s="9"/>
      <c r="C55" s="10"/>
      <c r="L55" s="4"/>
      <c r="M55" s="4"/>
      <c r="O55" s="4"/>
    </row>
    <row r="56">
      <c r="B56" s="9"/>
      <c r="C56" s="10"/>
      <c r="L56" s="4"/>
      <c r="M56" s="4"/>
      <c r="O56" s="4"/>
    </row>
    <row r="57">
      <c r="B57" s="9"/>
      <c r="C57" s="10"/>
      <c r="L57" s="4"/>
      <c r="M57" s="4"/>
      <c r="O57" s="4"/>
    </row>
    <row r="58">
      <c r="B58" s="9"/>
      <c r="C58" s="10"/>
      <c r="L58" s="4"/>
      <c r="M58" s="4"/>
      <c r="O58" s="4"/>
    </row>
    <row r="59">
      <c r="B59" s="9"/>
      <c r="C59" s="10"/>
      <c r="L59" s="4"/>
      <c r="M59" s="4"/>
      <c r="O59" s="4"/>
    </row>
    <row r="60">
      <c r="B60" s="9"/>
      <c r="C60" s="10"/>
      <c r="L60" s="4"/>
      <c r="M60" s="4"/>
      <c r="O60" s="4"/>
    </row>
    <row r="61">
      <c r="B61" s="9"/>
      <c r="C61" s="10"/>
      <c r="L61" s="4"/>
      <c r="M61" s="4"/>
      <c r="O61" s="4"/>
    </row>
    <row r="62">
      <c r="B62" s="9"/>
      <c r="C62" s="10"/>
      <c r="L62" s="4"/>
      <c r="M62" s="4"/>
      <c r="O62" s="4"/>
    </row>
    <row r="63">
      <c r="B63" s="9"/>
      <c r="C63" s="10"/>
      <c r="L63" s="4"/>
      <c r="M63" s="4"/>
      <c r="O63" s="4"/>
    </row>
    <row r="64">
      <c r="B64" s="9"/>
      <c r="C64" s="10"/>
      <c r="L64" s="4"/>
      <c r="M64" s="4"/>
      <c r="O64" s="4"/>
    </row>
    <row r="65">
      <c r="B65" s="9"/>
      <c r="C65" s="10"/>
      <c r="L65" s="4"/>
      <c r="M65" s="4"/>
      <c r="O65" s="4"/>
    </row>
    <row r="66">
      <c r="B66" s="9"/>
      <c r="C66" s="10"/>
      <c r="L66" s="4"/>
      <c r="M66" s="4"/>
      <c r="O66" s="4"/>
    </row>
    <row r="67">
      <c r="B67" s="9"/>
      <c r="C67" s="10"/>
      <c r="L67" s="4"/>
      <c r="M67" s="4"/>
      <c r="O67" s="4"/>
    </row>
    <row r="68">
      <c r="B68" s="9"/>
      <c r="C68" s="10"/>
      <c r="L68" s="4"/>
      <c r="M68" s="4"/>
      <c r="O68" s="4"/>
    </row>
    <row r="69">
      <c r="B69" s="9"/>
      <c r="C69" s="10"/>
      <c r="L69" s="4"/>
      <c r="M69" s="4"/>
      <c r="O69" s="4"/>
    </row>
    <row r="70">
      <c r="B70" s="9"/>
      <c r="C70" s="10"/>
      <c r="L70" s="4"/>
      <c r="M70" s="4"/>
      <c r="O70" s="4"/>
    </row>
    <row r="71">
      <c r="B71" s="9"/>
      <c r="C71" s="10"/>
      <c r="L71" s="4"/>
      <c r="M71" s="4"/>
      <c r="O71" s="4"/>
    </row>
    <row r="72">
      <c r="B72" s="9"/>
      <c r="C72" s="10"/>
      <c r="L72" s="4"/>
      <c r="M72" s="4"/>
      <c r="O72" s="4"/>
    </row>
    <row r="73">
      <c r="B73" s="9"/>
      <c r="C73" s="10"/>
      <c r="L73" s="4"/>
      <c r="M73" s="4"/>
      <c r="O73" s="4"/>
    </row>
    <row r="74">
      <c r="B74" s="9"/>
      <c r="C74" s="10"/>
      <c r="L74" s="4"/>
      <c r="M74" s="4"/>
      <c r="O74" s="4"/>
    </row>
    <row r="75">
      <c r="B75" s="9"/>
      <c r="C75" s="10"/>
      <c r="L75" s="4"/>
      <c r="M75" s="4"/>
      <c r="O75" s="4"/>
    </row>
    <row r="76">
      <c r="B76" s="9"/>
      <c r="C76" s="10"/>
      <c r="L76" s="4"/>
      <c r="M76" s="4"/>
      <c r="O76" s="4"/>
    </row>
    <row r="77">
      <c r="B77" s="9"/>
      <c r="C77" s="10"/>
      <c r="L77" s="4"/>
      <c r="M77" s="4"/>
      <c r="O77" s="4"/>
    </row>
    <row r="78">
      <c r="B78" s="9"/>
      <c r="C78" s="10"/>
      <c r="L78" s="4"/>
      <c r="M78" s="4"/>
      <c r="O78" s="4"/>
    </row>
    <row r="79">
      <c r="B79" s="9"/>
      <c r="C79" s="10"/>
      <c r="L79" s="4"/>
      <c r="M79" s="4"/>
      <c r="O79" s="4"/>
    </row>
    <row r="80">
      <c r="B80" s="9"/>
      <c r="C80" s="10"/>
      <c r="L80" s="4"/>
      <c r="M80" s="4"/>
      <c r="O80" s="4"/>
    </row>
    <row r="81">
      <c r="B81" s="9"/>
      <c r="C81" s="10"/>
      <c r="L81" s="4"/>
      <c r="M81" s="4"/>
      <c r="O81" s="4"/>
    </row>
    <row r="82">
      <c r="B82" s="9"/>
      <c r="C82" s="10"/>
      <c r="L82" s="4"/>
      <c r="M82" s="4"/>
      <c r="O82" s="4"/>
    </row>
    <row r="83">
      <c r="B83" s="9"/>
      <c r="C83" s="10"/>
      <c r="L83" s="4"/>
      <c r="M83" s="4"/>
      <c r="O83" s="4"/>
    </row>
    <row r="84">
      <c r="B84" s="9"/>
      <c r="C84" s="10"/>
      <c r="L84" s="4"/>
      <c r="M84" s="4"/>
      <c r="O84" s="4"/>
    </row>
    <row r="85">
      <c r="B85" s="9"/>
      <c r="C85" s="10"/>
      <c r="L85" s="4"/>
      <c r="M85" s="4"/>
      <c r="O85" s="4"/>
    </row>
    <row r="86">
      <c r="B86" s="9"/>
      <c r="C86" s="10"/>
      <c r="L86" s="4"/>
      <c r="M86" s="4"/>
      <c r="O86" s="4"/>
    </row>
    <row r="87">
      <c r="B87" s="9"/>
      <c r="C87" s="10"/>
      <c r="L87" s="4"/>
      <c r="M87" s="4"/>
      <c r="O87" s="4"/>
    </row>
    <row r="88">
      <c r="B88" s="9"/>
      <c r="C88" s="10"/>
      <c r="L88" s="4"/>
      <c r="M88" s="4"/>
      <c r="O88" s="4"/>
    </row>
    <row r="89">
      <c r="B89" s="9"/>
      <c r="C89" s="10"/>
      <c r="L89" s="4"/>
      <c r="M89" s="4"/>
      <c r="O89" s="4"/>
    </row>
    <row r="90">
      <c r="B90" s="9"/>
      <c r="C90" s="10"/>
      <c r="L90" s="4"/>
      <c r="M90" s="4"/>
      <c r="O90" s="4"/>
    </row>
    <row r="91">
      <c r="B91" s="9"/>
      <c r="C91" s="10"/>
      <c r="L91" s="4"/>
      <c r="M91" s="4"/>
      <c r="O91" s="4"/>
    </row>
    <row r="92">
      <c r="B92" s="9"/>
      <c r="C92" s="10"/>
      <c r="L92" s="4"/>
      <c r="M92" s="4"/>
      <c r="O92" s="4"/>
    </row>
    <row r="93">
      <c r="B93" s="9"/>
      <c r="C93" s="10"/>
      <c r="L93" s="4"/>
      <c r="M93" s="4"/>
      <c r="O93" s="4"/>
    </row>
    <row r="94">
      <c r="B94" s="9"/>
      <c r="C94" s="10"/>
      <c r="L94" s="4"/>
      <c r="M94" s="4"/>
      <c r="O94" s="4"/>
    </row>
    <row r="95">
      <c r="B95" s="9"/>
      <c r="C95" s="10"/>
      <c r="L95" s="4"/>
      <c r="M95" s="4"/>
      <c r="O95" s="4"/>
    </row>
    <row r="96">
      <c r="B96" s="9"/>
      <c r="C96" s="10"/>
      <c r="L96" s="4"/>
      <c r="M96" s="4"/>
      <c r="O96" s="4"/>
    </row>
    <row r="97">
      <c r="B97" s="9"/>
      <c r="C97" s="10"/>
      <c r="L97" s="4"/>
      <c r="M97" s="4"/>
      <c r="O97" s="4"/>
    </row>
    <row r="98">
      <c r="B98" s="9"/>
      <c r="C98" s="10"/>
      <c r="L98" s="4"/>
      <c r="M98" s="4"/>
      <c r="O98" s="4"/>
    </row>
    <row r="99">
      <c r="B99" s="9"/>
      <c r="C99" s="10"/>
      <c r="L99" s="4"/>
      <c r="M99" s="4"/>
      <c r="O99" s="4"/>
    </row>
    <row r="100">
      <c r="B100" s="9"/>
      <c r="C100" s="10"/>
      <c r="L100" s="4"/>
      <c r="M100" s="4"/>
      <c r="O100" s="4"/>
    </row>
    <row r="101">
      <c r="B101" s="9"/>
      <c r="C101" s="10"/>
      <c r="L101" s="4"/>
      <c r="M101" s="4"/>
      <c r="O101" s="4"/>
    </row>
    <row r="102">
      <c r="B102" s="9"/>
      <c r="C102" s="10"/>
      <c r="L102" s="4"/>
      <c r="M102" s="4"/>
      <c r="O102" s="4"/>
    </row>
    <row r="103">
      <c r="B103" s="9"/>
      <c r="C103" s="10"/>
      <c r="L103" s="4"/>
      <c r="M103" s="4"/>
      <c r="O103" s="4"/>
    </row>
    <row r="104">
      <c r="B104" s="9"/>
      <c r="C104" s="10"/>
      <c r="L104" s="4"/>
      <c r="M104" s="4"/>
      <c r="O104" s="4"/>
    </row>
    <row r="105">
      <c r="B105" s="9"/>
      <c r="C105" s="10"/>
      <c r="L105" s="4"/>
      <c r="M105" s="4"/>
      <c r="O105" s="4"/>
    </row>
    <row r="106">
      <c r="B106" s="9"/>
      <c r="C106" s="10"/>
      <c r="L106" s="4"/>
      <c r="M106" s="4"/>
      <c r="O106" s="4"/>
    </row>
    <row r="107">
      <c r="B107" s="9"/>
      <c r="C107" s="10"/>
      <c r="L107" s="4"/>
      <c r="M107" s="4"/>
      <c r="O107" s="4"/>
    </row>
    <row r="108">
      <c r="B108" s="9"/>
      <c r="C108" s="10"/>
      <c r="L108" s="4"/>
      <c r="M108" s="4"/>
      <c r="O108" s="4"/>
    </row>
    <row r="109">
      <c r="B109" s="9"/>
      <c r="C109" s="10"/>
      <c r="L109" s="4"/>
      <c r="M109" s="4"/>
      <c r="O109" s="4"/>
    </row>
    <row r="110">
      <c r="B110" s="9"/>
      <c r="C110" s="10"/>
      <c r="L110" s="4"/>
      <c r="M110" s="4"/>
      <c r="O110" s="4"/>
    </row>
    <row r="111">
      <c r="B111" s="9"/>
      <c r="C111" s="10"/>
      <c r="L111" s="4"/>
      <c r="M111" s="4"/>
      <c r="O111" s="4"/>
    </row>
    <row r="112">
      <c r="B112" s="9"/>
      <c r="C112" s="10"/>
      <c r="L112" s="4"/>
      <c r="M112" s="4"/>
      <c r="O112" s="4"/>
    </row>
    <row r="113">
      <c r="B113" s="9"/>
      <c r="C113" s="10"/>
      <c r="L113" s="4"/>
      <c r="M113" s="4"/>
      <c r="O113" s="4"/>
    </row>
    <row r="114">
      <c r="B114" s="9"/>
      <c r="C114" s="10"/>
      <c r="L114" s="4"/>
      <c r="M114" s="4"/>
      <c r="O114" s="4"/>
    </row>
    <row r="115">
      <c r="B115" s="9"/>
      <c r="C115" s="10"/>
      <c r="L115" s="4"/>
      <c r="M115" s="4"/>
      <c r="O115" s="4"/>
    </row>
    <row r="116">
      <c r="B116" s="9"/>
      <c r="C116" s="10"/>
      <c r="L116" s="4"/>
      <c r="M116" s="4"/>
      <c r="O116" s="4"/>
    </row>
    <row r="117">
      <c r="B117" s="9"/>
      <c r="C117" s="10"/>
      <c r="L117" s="4"/>
      <c r="M117" s="4"/>
      <c r="O117" s="4"/>
    </row>
    <row r="118">
      <c r="B118" s="9"/>
      <c r="C118" s="10"/>
      <c r="L118" s="4"/>
      <c r="M118" s="4"/>
      <c r="O118" s="4"/>
    </row>
    <row r="119">
      <c r="B119" s="9"/>
      <c r="C119" s="10"/>
      <c r="L119" s="4"/>
      <c r="M119" s="4"/>
      <c r="O119" s="4"/>
    </row>
    <row r="120">
      <c r="B120" s="9"/>
      <c r="C120" s="10"/>
      <c r="L120" s="4"/>
      <c r="M120" s="4"/>
      <c r="O120" s="4"/>
    </row>
    <row r="121">
      <c r="B121" s="9"/>
      <c r="C121" s="10"/>
      <c r="L121" s="4"/>
      <c r="M121" s="4"/>
      <c r="O121" s="4"/>
    </row>
    <row r="122">
      <c r="B122" s="9"/>
      <c r="C122" s="10"/>
      <c r="L122" s="4"/>
      <c r="M122" s="4"/>
      <c r="O122" s="4"/>
    </row>
    <row r="123">
      <c r="B123" s="9"/>
      <c r="C123" s="10"/>
      <c r="L123" s="4"/>
      <c r="M123" s="4"/>
      <c r="O123" s="4"/>
    </row>
    <row r="124">
      <c r="B124" s="9"/>
      <c r="C124" s="10"/>
      <c r="L124" s="4"/>
      <c r="M124" s="4"/>
      <c r="O124" s="4"/>
    </row>
    <row r="125">
      <c r="B125" s="9"/>
      <c r="C125" s="10"/>
      <c r="L125" s="4"/>
      <c r="M125" s="4"/>
      <c r="O125" s="4"/>
    </row>
    <row r="126">
      <c r="B126" s="9"/>
      <c r="C126" s="10"/>
      <c r="L126" s="4"/>
      <c r="M126" s="4"/>
      <c r="O126" s="4"/>
    </row>
    <row r="127">
      <c r="B127" s="9"/>
      <c r="C127" s="10"/>
      <c r="L127" s="4"/>
      <c r="M127" s="4"/>
      <c r="O127" s="4"/>
    </row>
    <row r="128">
      <c r="B128" s="9"/>
      <c r="C128" s="10"/>
      <c r="L128" s="4"/>
      <c r="M128" s="4"/>
      <c r="O128" s="4"/>
    </row>
    <row r="129">
      <c r="B129" s="9"/>
      <c r="C129" s="10"/>
      <c r="L129" s="4"/>
      <c r="M129" s="4"/>
      <c r="O129" s="4"/>
    </row>
    <row r="130">
      <c r="B130" s="9"/>
      <c r="C130" s="10"/>
      <c r="L130" s="4"/>
      <c r="M130" s="4"/>
      <c r="O130" s="4"/>
    </row>
    <row r="131">
      <c r="B131" s="9"/>
      <c r="C131" s="10"/>
      <c r="L131" s="4"/>
      <c r="M131" s="4"/>
      <c r="O131" s="4"/>
    </row>
    <row r="132">
      <c r="B132" s="9"/>
      <c r="C132" s="10"/>
      <c r="L132" s="4"/>
      <c r="M132" s="4"/>
      <c r="O132" s="4"/>
    </row>
    <row r="133">
      <c r="B133" s="9"/>
      <c r="C133" s="10"/>
      <c r="L133" s="4"/>
      <c r="M133" s="4"/>
      <c r="O133" s="4"/>
    </row>
    <row r="134">
      <c r="B134" s="9"/>
      <c r="C134" s="10"/>
      <c r="L134" s="4"/>
      <c r="M134" s="4"/>
      <c r="O134" s="4"/>
    </row>
    <row r="135">
      <c r="B135" s="9"/>
      <c r="C135" s="10"/>
      <c r="L135" s="4"/>
      <c r="M135" s="4"/>
      <c r="O135" s="4"/>
    </row>
    <row r="136">
      <c r="B136" s="9"/>
      <c r="C136" s="10"/>
      <c r="L136" s="4"/>
      <c r="M136" s="4"/>
      <c r="O136" s="4"/>
    </row>
    <row r="137">
      <c r="B137" s="9"/>
      <c r="C137" s="10"/>
      <c r="L137" s="4"/>
      <c r="M137" s="4"/>
      <c r="O137" s="4"/>
    </row>
    <row r="138">
      <c r="B138" s="9"/>
      <c r="C138" s="10"/>
      <c r="L138" s="4"/>
      <c r="M138" s="4"/>
      <c r="O138" s="4"/>
    </row>
    <row r="139">
      <c r="B139" s="9"/>
      <c r="C139" s="10"/>
      <c r="L139" s="4"/>
      <c r="M139" s="4"/>
      <c r="O139" s="4"/>
    </row>
    <row r="140">
      <c r="B140" s="9"/>
      <c r="C140" s="10"/>
      <c r="L140" s="4"/>
      <c r="M140" s="4"/>
      <c r="O140" s="4"/>
    </row>
    <row r="141">
      <c r="B141" s="9"/>
      <c r="C141" s="10"/>
      <c r="L141" s="4"/>
      <c r="M141" s="4"/>
      <c r="O141" s="4"/>
    </row>
    <row r="142">
      <c r="B142" s="9"/>
      <c r="C142" s="10"/>
      <c r="L142" s="4"/>
      <c r="M142" s="4"/>
      <c r="O142" s="4"/>
    </row>
    <row r="143">
      <c r="B143" s="9"/>
      <c r="C143" s="10"/>
      <c r="L143" s="4"/>
      <c r="M143" s="4"/>
      <c r="O143" s="4"/>
    </row>
    <row r="144">
      <c r="B144" s="9"/>
      <c r="C144" s="10"/>
      <c r="L144" s="4"/>
      <c r="M144" s="4"/>
      <c r="O144" s="4"/>
    </row>
    <row r="145">
      <c r="B145" s="9"/>
      <c r="C145" s="10"/>
      <c r="L145" s="4"/>
      <c r="M145" s="4"/>
      <c r="O145" s="4"/>
    </row>
    <row r="146">
      <c r="B146" s="9"/>
      <c r="C146" s="10"/>
      <c r="L146" s="4"/>
      <c r="M146" s="4"/>
      <c r="O146" s="4"/>
    </row>
    <row r="147">
      <c r="B147" s="9"/>
      <c r="C147" s="10"/>
      <c r="L147" s="4"/>
      <c r="M147" s="4"/>
      <c r="O147" s="4"/>
    </row>
    <row r="148">
      <c r="B148" s="9"/>
      <c r="C148" s="10"/>
      <c r="L148" s="4"/>
      <c r="M148" s="4"/>
      <c r="O148" s="4"/>
    </row>
    <row r="149">
      <c r="B149" s="9"/>
      <c r="C149" s="10"/>
      <c r="L149" s="4"/>
      <c r="M149" s="4"/>
      <c r="O149" s="4"/>
    </row>
    <row r="150">
      <c r="B150" s="9"/>
      <c r="C150" s="10"/>
      <c r="L150" s="4"/>
      <c r="M150" s="4"/>
      <c r="O150" s="4"/>
    </row>
    <row r="151">
      <c r="B151" s="9"/>
      <c r="C151" s="10"/>
      <c r="L151" s="4"/>
      <c r="M151" s="4"/>
      <c r="O151" s="4"/>
    </row>
    <row r="152">
      <c r="B152" s="9"/>
      <c r="C152" s="10"/>
      <c r="L152" s="4"/>
      <c r="M152" s="4"/>
      <c r="O152" s="4"/>
    </row>
    <row r="153">
      <c r="B153" s="9"/>
      <c r="C153" s="10"/>
      <c r="L153" s="4"/>
      <c r="M153" s="4"/>
      <c r="O153" s="4"/>
    </row>
    <row r="154">
      <c r="B154" s="9"/>
      <c r="C154" s="10"/>
      <c r="L154" s="4"/>
      <c r="M154" s="4"/>
      <c r="O154" s="4"/>
    </row>
    <row r="155">
      <c r="B155" s="9"/>
      <c r="C155" s="10"/>
      <c r="L155" s="4"/>
      <c r="M155" s="4"/>
      <c r="O155" s="4"/>
    </row>
    <row r="156">
      <c r="B156" s="9"/>
      <c r="C156" s="10"/>
      <c r="L156" s="4"/>
      <c r="M156" s="4"/>
      <c r="O156" s="4"/>
    </row>
    <row r="157">
      <c r="B157" s="9"/>
      <c r="C157" s="10"/>
      <c r="L157" s="4"/>
      <c r="M157" s="4"/>
      <c r="O157" s="4"/>
    </row>
    <row r="158">
      <c r="B158" s="9"/>
      <c r="C158" s="10"/>
      <c r="L158" s="4"/>
      <c r="M158" s="4"/>
      <c r="O158" s="4"/>
    </row>
    <row r="159">
      <c r="B159" s="9"/>
      <c r="C159" s="10"/>
      <c r="L159" s="4"/>
      <c r="M159" s="4"/>
      <c r="O159" s="4"/>
    </row>
    <row r="160">
      <c r="B160" s="9"/>
      <c r="C160" s="10"/>
      <c r="L160" s="4"/>
      <c r="M160" s="4"/>
      <c r="O160" s="4"/>
    </row>
    <row r="161">
      <c r="B161" s="9"/>
      <c r="C161" s="10"/>
      <c r="L161" s="4"/>
      <c r="M161" s="4"/>
      <c r="O161" s="4"/>
    </row>
    <row r="162">
      <c r="B162" s="9"/>
      <c r="C162" s="10"/>
      <c r="L162" s="4"/>
      <c r="M162" s="4"/>
      <c r="O162" s="4"/>
    </row>
    <row r="163">
      <c r="B163" s="9"/>
      <c r="C163" s="10"/>
      <c r="L163" s="4"/>
      <c r="M163" s="4"/>
      <c r="O163" s="4"/>
    </row>
    <row r="164">
      <c r="B164" s="9"/>
      <c r="C164" s="10"/>
      <c r="L164" s="4"/>
      <c r="M164" s="4"/>
      <c r="O164" s="4"/>
    </row>
    <row r="165">
      <c r="B165" s="9"/>
      <c r="C165" s="10"/>
      <c r="L165" s="4"/>
      <c r="M165" s="4"/>
      <c r="O165" s="4"/>
    </row>
    <row r="166">
      <c r="B166" s="9"/>
      <c r="C166" s="10"/>
      <c r="L166" s="4"/>
      <c r="M166" s="4"/>
      <c r="O166" s="4"/>
    </row>
    <row r="167">
      <c r="B167" s="9"/>
      <c r="C167" s="10"/>
      <c r="L167" s="4"/>
      <c r="M167" s="4"/>
      <c r="O167" s="4"/>
    </row>
    <row r="168">
      <c r="B168" s="9"/>
      <c r="C168" s="10"/>
      <c r="L168" s="4"/>
      <c r="M168" s="4"/>
      <c r="O168" s="4"/>
    </row>
    <row r="169">
      <c r="B169" s="9"/>
      <c r="C169" s="10"/>
      <c r="L169" s="4"/>
      <c r="M169" s="4"/>
      <c r="O169" s="4"/>
    </row>
    <row r="170">
      <c r="B170" s="9"/>
      <c r="C170" s="10"/>
      <c r="L170" s="4"/>
      <c r="M170" s="4"/>
      <c r="O170" s="4"/>
    </row>
    <row r="171">
      <c r="B171" s="9"/>
      <c r="C171" s="10"/>
      <c r="L171" s="4"/>
      <c r="M171" s="4"/>
      <c r="O171" s="4"/>
    </row>
    <row r="172">
      <c r="B172" s="9"/>
      <c r="C172" s="10"/>
      <c r="L172" s="4"/>
      <c r="M172" s="4"/>
      <c r="O172" s="4"/>
    </row>
    <row r="173">
      <c r="B173" s="9"/>
      <c r="C173" s="10"/>
      <c r="L173" s="4"/>
      <c r="M173" s="4"/>
      <c r="O173" s="4"/>
    </row>
    <row r="174">
      <c r="B174" s="9"/>
      <c r="C174" s="10"/>
      <c r="L174" s="4"/>
      <c r="M174" s="4"/>
      <c r="O174" s="4"/>
    </row>
    <row r="175">
      <c r="B175" s="9"/>
      <c r="C175" s="10"/>
      <c r="L175" s="4"/>
      <c r="M175" s="4"/>
      <c r="O175" s="4"/>
    </row>
    <row r="176">
      <c r="B176" s="9"/>
      <c r="C176" s="10"/>
      <c r="L176" s="4"/>
      <c r="M176" s="4"/>
      <c r="O176" s="4"/>
    </row>
    <row r="177">
      <c r="B177" s="9"/>
      <c r="C177" s="10"/>
      <c r="L177" s="4"/>
      <c r="M177" s="4"/>
      <c r="O177" s="4"/>
    </row>
    <row r="178">
      <c r="B178" s="9"/>
      <c r="C178" s="10"/>
      <c r="L178" s="4"/>
      <c r="M178" s="4"/>
      <c r="O178" s="4"/>
    </row>
    <row r="179">
      <c r="B179" s="9"/>
      <c r="C179" s="10"/>
      <c r="L179" s="4"/>
      <c r="M179" s="4"/>
      <c r="O179" s="4"/>
    </row>
    <row r="180">
      <c r="B180" s="9"/>
      <c r="C180" s="10"/>
      <c r="L180" s="4"/>
      <c r="M180" s="4"/>
      <c r="O180" s="4"/>
    </row>
    <row r="181">
      <c r="B181" s="9"/>
      <c r="C181" s="10"/>
      <c r="L181" s="4"/>
      <c r="M181" s="4"/>
      <c r="O181" s="4"/>
    </row>
    <row r="182">
      <c r="B182" s="9"/>
      <c r="C182" s="10"/>
      <c r="L182" s="4"/>
      <c r="M182" s="4"/>
      <c r="O182" s="4"/>
    </row>
    <row r="183">
      <c r="B183" s="9"/>
      <c r="C183" s="10"/>
      <c r="L183" s="4"/>
      <c r="M183" s="4"/>
      <c r="O183" s="4"/>
    </row>
    <row r="184">
      <c r="B184" s="9"/>
      <c r="C184" s="10"/>
      <c r="L184" s="4"/>
      <c r="M184" s="4"/>
      <c r="O184" s="4"/>
    </row>
    <row r="185">
      <c r="B185" s="9"/>
      <c r="C185" s="10"/>
      <c r="L185" s="4"/>
      <c r="M185" s="4"/>
      <c r="O185" s="4"/>
    </row>
    <row r="186">
      <c r="B186" s="9"/>
      <c r="C186" s="10"/>
      <c r="L186" s="4"/>
      <c r="M186" s="4"/>
      <c r="O186" s="4"/>
    </row>
    <row r="187">
      <c r="B187" s="9"/>
      <c r="C187" s="10"/>
      <c r="L187" s="4"/>
      <c r="M187" s="4"/>
      <c r="O187" s="4"/>
    </row>
    <row r="188">
      <c r="B188" s="9"/>
      <c r="C188" s="10"/>
      <c r="L188" s="4"/>
      <c r="M188" s="4"/>
      <c r="O188" s="4"/>
    </row>
    <row r="189">
      <c r="B189" s="9"/>
      <c r="C189" s="10"/>
      <c r="L189" s="4"/>
      <c r="M189" s="4"/>
      <c r="O189" s="4"/>
    </row>
    <row r="190">
      <c r="B190" s="9"/>
      <c r="C190" s="10"/>
      <c r="L190" s="4"/>
      <c r="M190" s="4"/>
      <c r="O190" s="4"/>
    </row>
    <row r="191">
      <c r="B191" s="9"/>
      <c r="C191" s="10"/>
      <c r="L191" s="4"/>
      <c r="M191" s="4"/>
      <c r="O191" s="4"/>
    </row>
    <row r="192">
      <c r="B192" s="9"/>
      <c r="C192" s="10"/>
      <c r="L192" s="4"/>
      <c r="M192" s="4"/>
      <c r="O192" s="4"/>
    </row>
    <row r="193">
      <c r="B193" s="9"/>
      <c r="C193" s="10"/>
      <c r="L193" s="4"/>
      <c r="M193" s="4"/>
      <c r="O193" s="4"/>
    </row>
    <row r="194">
      <c r="B194" s="9"/>
      <c r="C194" s="10"/>
      <c r="L194" s="4"/>
      <c r="M194" s="4"/>
      <c r="O194" s="4"/>
    </row>
    <row r="195">
      <c r="B195" s="9"/>
      <c r="C195" s="10"/>
      <c r="L195" s="4"/>
      <c r="M195" s="4"/>
      <c r="O195" s="4"/>
    </row>
    <row r="196">
      <c r="B196" s="9"/>
      <c r="C196" s="10"/>
      <c r="L196" s="4"/>
      <c r="M196" s="4"/>
      <c r="O196" s="4"/>
    </row>
    <row r="197">
      <c r="B197" s="9"/>
      <c r="C197" s="10"/>
      <c r="L197" s="4"/>
      <c r="M197" s="4"/>
      <c r="O197" s="4"/>
    </row>
    <row r="198">
      <c r="B198" s="9"/>
      <c r="C198" s="10"/>
      <c r="L198" s="4"/>
      <c r="M198" s="4"/>
      <c r="O198" s="4"/>
    </row>
    <row r="199">
      <c r="B199" s="9"/>
      <c r="C199" s="10"/>
      <c r="L199" s="4"/>
      <c r="M199" s="4"/>
      <c r="O199" s="4"/>
    </row>
    <row r="200">
      <c r="B200" s="9"/>
      <c r="C200" s="10"/>
      <c r="L200" s="4"/>
      <c r="M200" s="4"/>
      <c r="O200" s="4"/>
    </row>
    <row r="201">
      <c r="B201" s="9"/>
      <c r="C201" s="10"/>
      <c r="L201" s="4"/>
      <c r="M201" s="4"/>
      <c r="O201" s="4"/>
    </row>
    <row r="202">
      <c r="B202" s="9"/>
      <c r="C202" s="10"/>
      <c r="L202" s="4"/>
      <c r="M202" s="4"/>
      <c r="O202" s="4"/>
    </row>
    <row r="203">
      <c r="B203" s="9"/>
      <c r="C203" s="10"/>
      <c r="L203" s="4"/>
      <c r="M203" s="4"/>
      <c r="O203" s="4"/>
    </row>
    <row r="204">
      <c r="B204" s="9"/>
      <c r="C204" s="10"/>
      <c r="L204" s="4"/>
      <c r="M204" s="4"/>
      <c r="O204" s="4"/>
    </row>
    <row r="205">
      <c r="B205" s="9"/>
      <c r="C205" s="10"/>
      <c r="L205" s="4"/>
      <c r="M205" s="4"/>
      <c r="O205" s="4"/>
    </row>
    <row r="206">
      <c r="B206" s="9"/>
      <c r="C206" s="10"/>
      <c r="L206" s="4"/>
      <c r="M206" s="4"/>
      <c r="O206" s="4"/>
    </row>
    <row r="207">
      <c r="B207" s="9"/>
      <c r="C207" s="10"/>
      <c r="L207" s="4"/>
      <c r="M207" s="4"/>
      <c r="O207" s="4"/>
    </row>
    <row r="208">
      <c r="B208" s="9"/>
      <c r="C208" s="10"/>
      <c r="L208" s="4"/>
      <c r="M208" s="4"/>
      <c r="O208" s="4"/>
    </row>
    <row r="209">
      <c r="B209" s="9"/>
      <c r="C209" s="10"/>
      <c r="L209" s="4"/>
      <c r="M209" s="4"/>
      <c r="O209" s="4"/>
    </row>
    <row r="210">
      <c r="B210" s="9"/>
      <c r="C210" s="10"/>
      <c r="L210" s="4"/>
      <c r="M210" s="4"/>
      <c r="O210" s="4"/>
    </row>
    <row r="211">
      <c r="B211" s="9"/>
      <c r="C211" s="10"/>
      <c r="L211" s="4"/>
      <c r="M211" s="4"/>
      <c r="O211" s="4"/>
    </row>
    <row r="212">
      <c r="B212" s="9"/>
      <c r="C212" s="10"/>
      <c r="L212" s="4"/>
      <c r="M212" s="4"/>
      <c r="O212" s="4"/>
    </row>
    <row r="213">
      <c r="B213" s="9"/>
      <c r="C213" s="10"/>
      <c r="L213" s="4"/>
      <c r="M213" s="4"/>
      <c r="O213" s="4"/>
    </row>
    <row r="214">
      <c r="B214" s="9"/>
      <c r="C214" s="10"/>
      <c r="L214" s="4"/>
      <c r="M214" s="4"/>
      <c r="O214" s="4"/>
    </row>
    <row r="215">
      <c r="B215" s="9"/>
      <c r="C215" s="10"/>
      <c r="L215" s="4"/>
      <c r="M215" s="4"/>
      <c r="O215" s="4"/>
    </row>
    <row r="216">
      <c r="B216" s="9"/>
      <c r="C216" s="10"/>
      <c r="L216" s="4"/>
      <c r="M216" s="4"/>
      <c r="O216" s="4"/>
    </row>
    <row r="217">
      <c r="B217" s="9"/>
      <c r="C217" s="10"/>
      <c r="L217" s="4"/>
      <c r="M217" s="4"/>
      <c r="O217" s="4"/>
    </row>
    <row r="218">
      <c r="B218" s="9"/>
      <c r="C218" s="10"/>
      <c r="L218" s="4"/>
      <c r="M218" s="4"/>
      <c r="O218" s="4"/>
    </row>
    <row r="219">
      <c r="B219" s="9"/>
      <c r="C219" s="10"/>
      <c r="L219" s="4"/>
      <c r="M219" s="4"/>
      <c r="O219" s="4"/>
    </row>
    <row r="220">
      <c r="B220" s="9"/>
      <c r="C220" s="10"/>
      <c r="L220" s="4"/>
      <c r="M220" s="4"/>
      <c r="O220" s="4"/>
    </row>
    <row r="221">
      <c r="B221" s="9"/>
      <c r="C221" s="10"/>
      <c r="L221" s="4"/>
      <c r="M221" s="4"/>
      <c r="O221" s="4"/>
    </row>
    <row r="222">
      <c r="B222" s="9"/>
      <c r="C222" s="10"/>
      <c r="L222" s="4"/>
      <c r="M222" s="4"/>
      <c r="O222" s="4"/>
    </row>
    <row r="223">
      <c r="B223" s="9"/>
      <c r="C223" s="10"/>
      <c r="L223" s="4"/>
      <c r="M223" s="4"/>
      <c r="O223" s="4"/>
    </row>
    <row r="224">
      <c r="B224" s="9"/>
      <c r="C224" s="10"/>
      <c r="L224" s="4"/>
      <c r="M224" s="4"/>
      <c r="O224" s="4"/>
    </row>
    <row r="225">
      <c r="B225" s="9"/>
      <c r="C225" s="10"/>
      <c r="L225" s="4"/>
      <c r="M225" s="4"/>
      <c r="O225" s="4"/>
    </row>
    <row r="226">
      <c r="B226" s="9"/>
      <c r="C226" s="10"/>
      <c r="L226" s="4"/>
      <c r="M226" s="4"/>
      <c r="O226" s="4"/>
    </row>
    <row r="227">
      <c r="B227" s="9"/>
      <c r="C227" s="10"/>
      <c r="L227" s="4"/>
      <c r="M227" s="4"/>
      <c r="O227" s="4"/>
    </row>
    <row r="228">
      <c r="B228" s="9"/>
      <c r="C228" s="10"/>
      <c r="L228" s="4"/>
      <c r="M228" s="4"/>
      <c r="O228" s="4"/>
    </row>
    <row r="229">
      <c r="B229" s="9"/>
      <c r="C229" s="10"/>
      <c r="L229" s="4"/>
      <c r="M229" s="4"/>
      <c r="O229" s="4"/>
    </row>
    <row r="230">
      <c r="B230" s="9"/>
      <c r="C230" s="10"/>
      <c r="L230" s="4"/>
      <c r="M230" s="4"/>
      <c r="O230" s="4"/>
    </row>
    <row r="231">
      <c r="B231" s="9"/>
      <c r="C231" s="10"/>
      <c r="L231" s="4"/>
      <c r="M231" s="4"/>
      <c r="O231" s="4"/>
    </row>
    <row r="232">
      <c r="B232" s="9"/>
      <c r="C232" s="10"/>
      <c r="L232" s="4"/>
      <c r="M232" s="4"/>
      <c r="O232" s="4"/>
    </row>
    <row r="233">
      <c r="B233" s="9"/>
      <c r="C233" s="10"/>
      <c r="L233" s="4"/>
      <c r="M233" s="4"/>
      <c r="O233" s="4"/>
    </row>
    <row r="234">
      <c r="B234" s="9"/>
      <c r="C234" s="10"/>
      <c r="L234" s="4"/>
      <c r="M234" s="4"/>
      <c r="O234" s="4"/>
    </row>
    <row r="235">
      <c r="B235" s="9"/>
      <c r="C235" s="10"/>
      <c r="L235" s="4"/>
      <c r="M235" s="4"/>
      <c r="O235" s="4"/>
    </row>
    <row r="236">
      <c r="B236" s="9"/>
      <c r="C236" s="10"/>
      <c r="L236" s="4"/>
      <c r="M236" s="4"/>
      <c r="O236" s="4"/>
    </row>
    <row r="237">
      <c r="B237" s="9"/>
      <c r="C237" s="10"/>
      <c r="L237" s="4"/>
      <c r="M237" s="4"/>
      <c r="O237" s="4"/>
    </row>
    <row r="238">
      <c r="B238" s="9"/>
      <c r="C238" s="10"/>
      <c r="L238" s="4"/>
      <c r="M238" s="4"/>
      <c r="O238" s="4"/>
    </row>
    <row r="239">
      <c r="B239" s="9"/>
      <c r="C239" s="10"/>
      <c r="L239" s="4"/>
      <c r="M239" s="4"/>
      <c r="O239" s="4"/>
    </row>
    <row r="240">
      <c r="B240" s="9"/>
      <c r="C240" s="10"/>
      <c r="L240" s="4"/>
      <c r="M240" s="4"/>
      <c r="O240" s="4"/>
    </row>
    <row r="241">
      <c r="B241" s="9"/>
      <c r="C241" s="10"/>
      <c r="L241" s="4"/>
      <c r="M241" s="4"/>
      <c r="O241" s="4"/>
    </row>
    <row r="242">
      <c r="B242" s="9"/>
      <c r="C242" s="10"/>
      <c r="L242" s="4"/>
      <c r="M242" s="4"/>
      <c r="O242" s="4"/>
    </row>
    <row r="243">
      <c r="B243" s="9"/>
      <c r="C243" s="10"/>
      <c r="L243" s="4"/>
      <c r="M243" s="4"/>
      <c r="O243" s="4"/>
    </row>
    <row r="244">
      <c r="B244" s="9"/>
      <c r="C244" s="10"/>
      <c r="L244" s="4"/>
      <c r="M244" s="4"/>
      <c r="O244" s="4"/>
    </row>
    <row r="245">
      <c r="B245" s="9"/>
      <c r="C245" s="10"/>
      <c r="L245" s="4"/>
      <c r="M245" s="4"/>
      <c r="O245" s="4"/>
    </row>
    <row r="246">
      <c r="B246" s="9"/>
      <c r="C246" s="10"/>
      <c r="L246" s="4"/>
      <c r="M246" s="4"/>
      <c r="O246" s="4"/>
    </row>
    <row r="247">
      <c r="B247" s="9"/>
      <c r="C247" s="10"/>
      <c r="L247" s="4"/>
      <c r="M247" s="4"/>
      <c r="O247" s="4"/>
    </row>
    <row r="248">
      <c r="B248" s="9"/>
      <c r="C248" s="10"/>
      <c r="L248" s="4"/>
      <c r="M248" s="4"/>
      <c r="O248" s="4"/>
    </row>
    <row r="249">
      <c r="B249" s="9"/>
      <c r="C249" s="10"/>
      <c r="L249" s="4"/>
      <c r="M249" s="4"/>
      <c r="O249" s="4"/>
    </row>
    <row r="250">
      <c r="B250" s="9"/>
      <c r="C250" s="10"/>
      <c r="L250" s="4"/>
      <c r="M250" s="4"/>
      <c r="O250" s="4"/>
    </row>
    <row r="251">
      <c r="B251" s="9"/>
      <c r="C251" s="10"/>
      <c r="L251" s="4"/>
      <c r="M251" s="4"/>
      <c r="O251" s="4"/>
    </row>
    <row r="252">
      <c r="B252" s="9"/>
      <c r="C252" s="10"/>
      <c r="L252" s="4"/>
      <c r="M252" s="4"/>
      <c r="O252" s="4"/>
    </row>
    <row r="253">
      <c r="B253" s="9"/>
      <c r="C253" s="10"/>
      <c r="L253" s="4"/>
      <c r="M253" s="4"/>
      <c r="O253" s="4"/>
    </row>
    <row r="254">
      <c r="B254" s="9"/>
      <c r="C254" s="10"/>
      <c r="L254" s="4"/>
      <c r="M254" s="4"/>
      <c r="O254" s="4"/>
    </row>
    <row r="255">
      <c r="B255" s="9"/>
      <c r="C255" s="10"/>
      <c r="L255" s="4"/>
      <c r="M255" s="4"/>
      <c r="O255" s="4"/>
    </row>
    <row r="256">
      <c r="B256" s="9"/>
      <c r="C256" s="10"/>
      <c r="L256" s="4"/>
      <c r="M256" s="4"/>
      <c r="O256" s="4"/>
    </row>
    <row r="257">
      <c r="B257" s="9"/>
      <c r="C257" s="10"/>
      <c r="L257" s="4"/>
      <c r="M257" s="4"/>
      <c r="O257" s="4"/>
    </row>
    <row r="258">
      <c r="B258" s="9"/>
      <c r="C258" s="10"/>
      <c r="L258" s="4"/>
      <c r="M258" s="4"/>
      <c r="O258" s="4"/>
    </row>
    <row r="259">
      <c r="B259" s="9"/>
      <c r="C259" s="10"/>
      <c r="L259" s="4"/>
      <c r="M259" s="4"/>
      <c r="O259" s="4"/>
    </row>
    <row r="260">
      <c r="B260" s="9"/>
      <c r="C260" s="10"/>
      <c r="L260" s="4"/>
      <c r="M260" s="4"/>
      <c r="O260" s="4"/>
    </row>
    <row r="261">
      <c r="B261" s="9"/>
      <c r="C261" s="10"/>
      <c r="L261" s="4"/>
      <c r="M261" s="4"/>
      <c r="O261" s="4"/>
    </row>
    <row r="262">
      <c r="B262" s="9"/>
      <c r="C262" s="10"/>
      <c r="L262" s="4"/>
      <c r="M262" s="4"/>
      <c r="O262" s="4"/>
    </row>
    <row r="263">
      <c r="B263" s="9"/>
      <c r="C263" s="10"/>
      <c r="L263" s="4"/>
      <c r="M263" s="4"/>
      <c r="O263" s="4"/>
    </row>
    <row r="264">
      <c r="B264" s="9"/>
      <c r="C264" s="10"/>
      <c r="L264" s="4"/>
      <c r="M264" s="4"/>
      <c r="O264" s="4"/>
    </row>
    <row r="265">
      <c r="B265" s="9"/>
      <c r="C265" s="10"/>
      <c r="L265" s="4"/>
      <c r="M265" s="4"/>
      <c r="O265" s="4"/>
    </row>
    <row r="266">
      <c r="B266" s="9"/>
      <c r="C266" s="10"/>
      <c r="L266" s="4"/>
      <c r="M266" s="4"/>
      <c r="O266" s="4"/>
    </row>
    <row r="267">
      <c r="B267" s="9"/>
      <c r="C267" s="10"/>
      <c r="L267" s="4"/>
      <c r="M267" s="4"/>
      <c r="O267" s="4"/>
    </row>
    <row r="268">
      <c r="B268" s="9"/>
      <c r="C268" s="10"/>
      <c r="L268" s="4"/>
      <c r="M268" s="4"/>
      <c r="O268" s="4"/>
    </row>
    <row r="269">
      <c r="B269" s="9"/>
      <c r="C269" s="10"/>
      <c r="L269" s="4"/>
      <c r="M269" s="4"/>
      <c r="O269" s="4"/>
    </row>
    <row r="270">
      <c r="B270" s="9"/>
      <c r="C270" s="10"/>
      <c r="L270" s="4"/>
      <c r="M270" s="4"/>
      <c r="O270" s="4"/>
    </row>
    <row r="271">
      <c r="B271" s="9"/>
      <c r="C271" s="10"/>
      <c r="L271" s="4"/>
      <c r="M271" s="4"/>
      <c r="O271" s="4"/>
    </row>
    <row r="272">
      <c r="B272" s="9"/>
      <c r="C272" s="10"/>
      <c r="L272" s="4"/>
      <c r="M272" s="4"/>
      <c r="O272" s="4"/>
    </row>
    <row r="273">
      <c r="B273" s="9"/>
      <c r="C273" s="10"/>
      <c r="L273" s="4"/>
      <c r="M273" s="4"/>
      <c r="O273" s="4"/>
    </row>
    <row r="274">
      <c r="B274" s="9"/>
      <c r="C274" s="10"/>
      <c r="L274" s="4"/>
      <c r="M274" s="4"/>
      <c r="O274" s="4"/>
    </row>
    <row r="275">
      <c r="B275" s="9"/>
      <c r="C275" s="10"/>
      <c r="L275" s="4"/>
      <c r="M275" s="4"/>
      <c r="O275" s="4"/>
    </row>
    <row r="276">
      <c r="B276" s="9"/>
      <c r="C276" s="10"/>
      <c r="L276" s="4"/>
      <c r="M276" s="4"/>
      <c r="O276" s="4"/>
    </row>
    <row r="277">
      <c r="B277" s="9"/>
      <c r="C277" s="10"/>
      <c r="L277" s="4"/>
      <c r="M277" s="4"/>
      <c r="O277" s="4"/>
    </row>
    <row r="278">
      <c r="B278" s="9"/>
      <c r="C278" s="10"/>
      <c r="L278" s="4"/>
      <c r="M278" s="4"/>
      <c r="O278" s="4"/>
    </row>
    <row r="279">
      <c r="B279" s="9"/>
      <c r="C279" s="10"/>
      <c r="L279" s="4"/>
      <c r="M279" s="4"/>
      <c r="O279" s="4"/>
    </row>
    <row r="280">
      <c r="B280" s="9"/>
      <c r="C280" s="10"/>
      <c r="L280" s="4"/>
      <c r="M280" s="4"/>
      <c r="O280" s="4"/>
    </row>
    <row r="281">
      <c r="B281" s="9"/>
      <c r="C281" s="10"/>
      <c r="L281" s="4"/>
      <c r="M281" s="4"/>
      <c r="O281" s="4"/>
    </row>
    <row r="282">
      <c r="B282" s="9"/>
      <c r="C282" s="10"/>
      <c r="L282" s="4"/>
      <c r="M282" s="4"/>
      <c r="O282" s="4"/>
    </row>
    <row r="283">
      <c r="B283" s="9"/>
      <c r="C283" s="10"/>
      <c r="L283" s="4"/>
      <c r="M283" s="4"/>
      <c r="O283" s="4"/>
    </row>
    <row r="284">
      <c r="B284" s="9"/>
      <c r="C284" s="10"/>
      <c r="L284" s="4"/>
      <c r="M284" s="4"/>
      <c r="O284" s="4"/>
    </row>
    <row r="285">
      <c r="B285" s="9"/>
      <c r="C285" s="10"/>
      <c r="L285" s="4"/>
      <c r="M285" s="4"/>
      <c r="O285" s="4"/>
    </row>
    <row r="286">
      <c r="B286" s="9"/>
      <c r="C286" s="10"/>
      <c r="L286" s="4"/>
      <c r="M286" s="4"/>
      <c r="O286" s="4"/>
    </row>
    <row r="287">
      <c r="B287" s="9"/>
      <c r="C287" s="10"/>
      <c r="L287" s="4"/>
      <c r="M287" s="4"/>
      <c r="O287" s="4"/>
    </row>
    <row r="288">
      <c r="B288" s="9"/>
      <c r="C288" s="10"/>
      <c r="L288" s="4"/>
      <c r="M288" s="4"/>
      <c r="O288" s="4"/>
    </row>
    <row r="289">
      <c r="B289" s="9"/>
      <c r="C289" s="10"/>
      <c r="L289" s="4"/>
      <c r="M289" s="4"/>
      <c r="O289" s="4"/>
    </row>
    <row r="290">
      <c r="B290" s="9"/>
      <c r="C290" s="10"/>
      <c r="L290" s="4"/>
      <c r="M290" s="4"/>
      <c r="O290" s="4"/>
    </row>
    <row r="291">
      <c r="B291" s="9"/>
      <c r="C291" s="10"/>
      <c r="L291" s="4"/>
      <c r="M291" s="4"/>
      <c r="O291" s="4"/>
    </row>
    <row r="292">
      <c r="B292" s="9"/>
      <c r="C292" s="10"/>
      <c r="L292" s="4"/>
      <c r="M292" s="4"/>
      <c r="O292" s="4"/>
    </row>
    <row r="293">
      <c r="B293" s="9"/>
      <c r="C293" s="10"/>
      <c r="L293" s="4"/>
      <c r="M293" s="4"/>
      <c r="O293" s="4"/>
    </row>
    <row r="294">
      <c r="B294" s="9"/>
      <c r="C294" s="10"/>
      <c r="L294" s="4"/>
      <c r="M294" s="4"/>
      <c r="O294" s="4"/>
    </row>
    <row r="295">
      <c r="B295" s="9"/>
      <c r="C295" s="10"/>
      <c r="L295" s="4"/>
      <c r="M295" s="4"/>
      <c r="O295" s="4"/>
    </row>
    <row r="296">
      <c r="B296" s="9"/>
      <c r="C296" s="10"/>
      <c r="L296" s="4"/>
      <c r="M296" s="4"/>
      <c r="O296" s="4"/>
    </row>
    <row r="297">
      <c r="B297" s="9"/>
      <c r="C297" s="10"/>
      <c r="L297" s="4"/>
      <c r="M297" s="4"/>
      <c r="O297" s="4"/>
    </row>
    <row r="298">
      <c r="B298" s="9"/>
      <c r="C298" s="10"/>
      <c r="L298" s="4"/>
      <c r="M298" s="4"/>
      <c r="O298" s="4"/>
    </row>
    <row r="299">
      <c r="B299" s="9"/>
      <c r="C299" s="10"/>
      <c r="L299" s="4"/>
      <c r="M299" s="4"/>
      <c r="O299" s="4"/>
    </row>
    <row r="300">
      <c r="B300" s="9"/>
      <c r="C300" s="10"/>
      <c r="L300" s="4"/>
      <c r="M300" s="4"/>
      <c r="O300" s="4"/>
    </row>
    <row r="301">
      <c r="B301" s="9"/>
      <c r="C301" s="10"/>
      <c r="L301" s="4"/>
      <c r="M301" s="4"/>
      <c r="O301" s="4"/>
    </row>
    <row r="302">
      <c r="B302" s="9"/>
      <c r="C302" s="10"/>
      <c r="L302" s="4"/>
      <c r="M302" s="4"/>
      <c r="O302" s="4"/>
    </row>
    <row r="303">
      <c r="B303" s="9"/>
      <c r="C303" s="10"/>
      <c r="L303" s="4"/>
      <c r="M303" s="4"/>
      <c r="O303" s="4"/>
    </row>
    <row r="304">
      <c r="B304" s="9"/>
      <c r="C304" s="10"/>
      <c r="L304" s="4"/>
      <c r="M304" s="4"/>
      <c r="O304" s="4"/>
    </row>
    <row r="305">
      <c r="B305" s="9"/>
      <c r="C305" s="10"/>
      <c r="L305" s="4"/>
      <c r="M305" s="4"/>
      <c r="O305" s="4"/>
    </row>
    <row r="306">
      <c r="B306" s="9"/>
      <c r="C306" s="10"/>
      <c r="L306" s="4"/>
      <c r="M306" s="4"/>
      <c r="O306" s="4"/>
    </row>
    <row r="307">
      <c r="B307" s="9"/>
      <c r="C307" s="10"/>
      <c r="L307" s="4"/>
      <c r="M307" s="4"/>
      <c r="O307" s="4"/>
    </row>
    <row r="308">
      <c r="B308" s="9"/>
      <c r="C308" s="10"/>
      <c r="L308" s="4"/>
      <c r="M308" s="4"/>
      <c r="O308" s="4"/>
    </row>
    <row r="309">
      <c r="B309" s="9"/>
      <c r="C309" s="10"/>
      <c r="L309" s="4"/>
      <c r="M309" s="4"/>
      <c r="O309" s="4"/>
    </row>
    <row r="310">
      <c r="B310" s="9"/>
      <c r="C310" s="10"/>
      <c r="L310" s="4"/>
      <c r="M310" s="4"/>
      <c r="O310" s="4"/>
    </row>
    <row r="311">
      <c r="B311" s="9"/>
      <c r="C311" s="10"/>
      <c r="L311" s="4"/>
      <c r="M311" s="4"/>
      <c r="O311" s="4"/>
    </row>
    <row r="312">
      <c r="B312" s="9"/>
      <c r="C312" s="10"/>
      <c r="L312" s="4"/>
      <c r="M312" s="4"/>
      <c r="O312" s="4"/>
    </row>
    <row r="313">
      <c r="B313" s="9"/>
      <c r="C313" s="10"/>
      <c r="L313" s="4"/>
      <c r="M313" s="4"/>
      <c r="O313" s="4"/>
    </row>
    <row r="314">
      <c r="B314" s="9"/>
      <c r="C314" s="10"/>
      <c r="L314" s="4"/>
      <c r="M314" s="4"/>
      <c r="O314" s="4"/>
    </row>
    <row r="315">
      <c r="B315" s="9"/>
      <c r="C315" s="10"/>
      <c r="L315" s="4"/>
      <c r="M315" s="4"/>
      <c r="O315" s="4"/>
    </row>
    <row r="316">
      <c r="B316" s="9"/>
      <c r="C316" s="10"/>
      <c r="L316" s="4"/>
      <c r="M316" s="4"/>
      <c r="O316" s="4"/>
    </row>
    <row r="317">
      <c r="B317" s="9"/>
      <c r="C317" s="10"/>
      <c r="L317" s="4"/>
      <c r="M317" s="4"/>
      <c r="O317" s="4"/>
    </row>
    <row r="318">
      <c r="B318" s="9"/>
      <c r="C318" s="10"/>
      <c r="L318" s="4"/>
      <c r="M318" s="4"/>
      <c r="O318" s="4"/>
    </row>
    <row r="319">
      <c r="B319" s="9"/>
      <c r="C319" s="10"/>
      <c r="L319" s="4"/>
      <c r="M319" s="4"/>
      <c r="O319" s="4"/>
    </row>
    <row r="320">
      <c r="B320" s="9"/>
      <c r="C320" s="10"/>
      <c r="L320" s="4"/>
      <c r="M320" s="4"/>
      <c r="O320" s="4"/>
    </row>
    <row r="321">
      <c r="B321" s="9"/>
      <c r="C321" s="10"/>
      <c r="L321" s="4"/>
      <c r="M321" s="4"/>
      <c r="O321" s="4"/>
    </row>
    <row r="322">
      <c r="B322" s="9"/>
      <c r="C322" s="10"/>
      <c r="L322" s="4"/>
      <c r="M322" s="4"/>
      <c r="O322" s="4"/>
    </row>
    <row r="323">
      <c r="B323" s="9"/>
      <c r="C323" s="10"/>
      <c r="L323" s="4"/>
      <c r="M323" s="4"/>
      <c r="O323" s="4"/>
    </row>
    <row r="324">
      <c r="B324" s="9"/>
      <c r="C324" s="10"/>
      <c r="L324" s="4"/>
      <c r="M324" s="4"/>
      <c r="O324" s="4"/>
    </row>
    <row r="325">
      <c r="B325" s="9"/>
      <c r="C325" s="10"/>
      <c r="L325" s="4"/>
      <c r="M325" s="4"/>
      <c r="O325" s="4"/>
    </row>
    <row r="326">
      <c r="B326" s="9"/>
      <c r="C326" s="10"/>
      <c r="L326" s="4"/>
      <c r="M326" s="4"/>
      <c r="O326" s="4"/>
    </row>
    <row r="327">
      <c r="B327" s="9"/>
      <c r="C327" s="10"/>
      <c r="L327" s="4"/>
      <c r="M327" s="4"/>
      <c r="O327" s="4"/>
    </row>
    <row r="328">
      <c r="B328" s="9"/>
      <c r="C328" s="10"/>
      <c r="L328" s="4"/>
      <c r="M328" s="4"/>
      <c r="O328" s="4"/>
    </row>
    <row r="329">
      <c r="B329" s="9"/>
      <c r="C329" s="10"/>
      <c r="L329" s="4"/>
      <c r="M329" s="4"/>
      <c r="O329" s="4"/>
    </row>
    <row r="330">
      <c r="B330" s="9"/>
      <c r="C330" s="10"/>
      <c r="L330" s="4"/>
      <c r="M330" s="4"/>
      <c r="O330" s="4"/>
    </row>
    <row r="331">
      <c r="B331" s="9"/>
      <c r="C331" s="10"/>
      <c r="L331" s="4"/>
      <c r="M331" s="4"/>
      <c r="O331" s="4"/>
    </row>
    <row r="332">
      <c r="B332" s="9"/>
      <c r="C332" s="10"/>
      <c r="L332" s="4"/>
      <c r="M332" s="4"/>
      <c r="O332" s="4"/>
    </row>
    <row r="333">
      <c r="B333" s="9"/>
      <c r="C333" s="10"/>
      <c r="L333" s="4"/>
      <c r="M333" s="4"/>
      <c r="O333" s="4"/>
    </row>
    <row r="334">
      <c r="B334" s="9"/>
      <c r="C334" s="10"/>
      <c r="L334" s="4"/>
      <c r="M334" s="4"/>
      <c r="O334" s="4"/>
    </row>
    <row r="335">
      <c r="B335" s="9"/>
      <c r="C335" s="10"/>
      <c r="L335" s="4"/>
      <c r="M335" s="4"/>
      <c r="O335" s="4"/>
    </row>
    <row r="336">
      <c r="B336" s="9"/>
      <c r="C336" s="10"/>
      <c r="L336" s="4"/>
      <c r="M336" s="4"/>
      <c r="O336" s="4"/>
    </row>
    <row r="337">
      <c r="B337" s="9"/>
      <c r="C337" s="10"/>
      <c r="L337" s="4"/>
      <c r="M337" s="4"/>
      <c r="O337" s="4"/>
    </row>
    <row r="338">
      <c r="B338" s="9"/>
      <c r="C338" s="10"/>
      <c r="L338" s="4"/>
      <c r="M338" s="4"/>
      <c r="O338" s="4"/>
    </row>
    <row r="339">
      <c r="B339" s="9"/>
      <c r="C339" s="10"/>
      <c r="L339" s="4"/>
      <c r="M339" s="4"/>
      <c r="O339" s="4"/>
    </row>
    <row r="340">
      <c r="B340" s="9"/>
      <c r="C340" s="10"/>
      <c r="L340" s="4"/>
      <c r="M340" s="4"/>
      <c r="O340" s="4"/>
    </row>
    <row r="341">
      <c r="B341" s="9"/>
      <c r="C341" s="10"/>
      <c r="L341" s="4"/>
      <c r="M341" s="4"/>
      <c r="O341" s="4"/>
    </row>
    <row r="342">
      <c r="B342" s="9"/>
      <c r="C342" s="10"/>
      <c r="L342" s="4"/>
      <c r="M342" s="4"/>
      <c r="O342" s="4"/>
    </row>
    <row r="343">
      <c r="B343" s="9"/>
      <c r="C343" s="10"/>
      <c r="L343" s="4"/>
      <c r="M343" s="4"/>
      <c r="O343" s="4"/>
    </row>
    <row r="344">
      <c r="B344" s="9"/>
      <c r="C344" s="10"/>
      <c r="L344" s="4"/>
      <c r="M344" s="4"/>
      <c r="O344" s="4"/>
    </row>
    <row r="345">
      <c r="B345" s="9"/>
      <c r="C345" s="10"/>
      <c r="L345" s="4"/>
      <c r="M345" s="4"/>
      <c r="O345" s="4"/>
    </row>
    <row r="346">
      <c r="B346" s="9"/>
      <c r="C346" s="10"/>
      <c r="L346" s="4"/>
      <c r="M346" s="4"/>
      <c r="O346" s="4"/>
    </row>
    <row r="347">
      <c r="B347" s="9"/>
      <c r="C347" s="10"/>
      <c r="L347" s="4"/>
      <c r="M347" s="4"/>
      <c r="O347" s="4"/>
    </row>
    <row r="348">
      <c r="B348" s="9"/>
      <c r="C348" s="10"/>
      <c r="L348" s="4"/>
      <c r="M348" s="4"/>
      <c r="O348" s="4"/>
    </row>
    <row r="349">
      <c r="B349" s="9"/>
      <c r="C349" s="10"/>
      <c r="L349" s="4"/>
      <c r="M349" s="4"/>
      <c r="O349" s="4"/>
    </row>
    <row r="350">
      <c r="B350" s="9"/>
      <c r="C350" s="10"/>
      <c r="L350" s="4"/>
      <c r="M350" s="4"/>
      <c r="O350" s="4"/>
    </row>
    <row r="351">
      <c r="B351" s="9"/>
      <c r="C351" s="10"/>
      <c r="L351" s="4"/>
      <c r="M351" s="4"/>
      <c r="O351" s="4"/>
    </row>
    <row r="352">
      <c r="B352" s="9"/>
      <c r="C352" s="10"/>
      <c r="L352" s="4"/>
      <c r="M352" s="4"/>
      <c r="O352" s="4"/>
    </row>
    <row r="353">
      <c r="B353" s="9"/>
      <c r="C353" s="10"/>
      <c r="L353" s="4"/>
      <c r="M353" s="4"/>
      <c r="O353" s="4"/>
    </row>
    <row r="354">
      <c r="B354" s="9"/>
      <c r="C354" s="10"/>
      <c r="L354" s="4"/>
      <c r="M354" s="4"/>
      <c r="O354" s="4"/>
    </row>
    <row r="355">
      <c r="B355" s="9"/>
      <c r="C355" s="10"/>
      <c r="L355" s="4"/>
      <c r="M355" s="4"/>
      <c r="O355" s="4"/>
    </row>
    <row r="356">
      <c r="B356" s="9"/>
      <c r="C356" s="10"/>
      <c r="L356" s="4"/>
      <c r="M356" s="4"/>
      <c r="O356" s="4"/>
    </row>
    <row r="357">
      <c r="B357" s="9"/>
      <c r="C357" s="10"/>
      <c r="L357" s="4"/>
      <c r="M357" s="4"/>
      <c r="O357" s="4"/>
    </row>
    <row r="358">
      <c r="B358" s="9"/>
      <c r="C358" s="10"/>
      <c r="L358" s="4"/>
      <c r="M358" s="4"/>
      <c r="O358" s="4"/>
    </row>
    <row r="359">
      <c r="B359" s="9"/>
      <c r="C359" s="10"/>
      <c r="L359" s="4"/>
      <c r="M359" s="4"/>
      <c r="O359" s="4"/>
    </row>
    <row r="360">
      <c r="B360" s="9"/>
      <c r="C360" s="10"/>
      <c r="L360" s="4"/>
      <c r="M360" s="4"/>
      <c r="O360" s="4"/>
    </row>
    <row r="361">
      <c r="B361" s="9"/>
      <c r="C361" s="10"/>
      <c r="L361" s="4"/>
      <c r="M361" s="4"/>
      <c r="O361" s="4"/>
    </row>
    <row r="362">
      <c r="B362" s="9"/>
      <c r="C362" s="10"/>
      <c r="L362" s="4"/>
      <c r="M362" s="4"/>
      <c r="O362" s="4"/>
    </row>
    <row r="363">
      <c r="B363" s="9"/>
      <c r="C363" s="10"/>
      <c r="L363" s="4"/>
      <c r="M363" s="4"/>
      <c r="O363" s="4"/>
    </row>
    <row r="364">
      <c r="B364" s="9"/>
      <c r="C364" s="10"/>
      <c r="L364" s="4"/>
      <c r="M364" s="4"/>
      <c r="O364" s="4"/>
    </row>
    <row r="365">
      <c r="B365" s="9"/>
      <c r="C365" s="10"/>
      <c r="L365" s="4"/>
      <c r="M365" s="4"/>
      <c r="O365" s="4"/>
    </row>
    <row r="366">
      <c r="B366" s="9"/>
      <c r="C366" s="10"/>
      <c r="L366" s="4"/>
      <c r="M366" s="4"/>
      <c r="O366" s="4"/>
    </row>
    <row r="367">
      <c r="B367" s="9"/>
      <c r="C367" s="10"/>
      <c r="L367" s="4"/>
      <c r="M367" s="4"/>
      <c r="O367" s="4"/>
    </row>
    <row r="368">
      <c r="B368" s="9"/>
      <c r="C368" s="10"/>
      <c r="L368" s="4"/>
      <c r="M368" s="4"/>
      <c r="O368" s="4"/>
    </row>
    <row r="369">
      <c r="B369" s="9"/>
      <c r="C369" s="10"/>
      <c r="L369" s="4"/>
      <c r="M369" s="4"/>
      <c r="O369" s="4"/>
    </row>
    <row r="370">
      <c r="B370" s="9"/>
      <c r="C370" s="10"/>
      <c r="L370" s="4"/>
      <c r="M370" s="4"/>
      <c r="O370" s="4"/>
    </row>
    <row r="371">
      <c r="B371" s="9"/>
      <c r="C371" s="10"/>
      <c r="L371" s="4"/>
      <c r="M371" s="4"/>
      <c r="O371" s="4"/>
    </row>
    <row r="372">
      <c r="B372" s="9"/>
      <c r="C372" s="10"/>
      <c r="L372" s="4"/>
      <c r="M372" s="4"/>
      <c r="O372" s="4"/>
    </row>
    <row r="373">
      <c r="B373" s="9"/>
      <c r="C373" s="10"/>
      <c r="L373" s="4"/>
      <c r="M373" s="4"/>
      <c r="O373" s="4"/>
    </row>
    <row r="374">
      <c r="B374" s="9"/>
      <c r="C374" s="10"/>
      <c r="L374" s="4"/>
      <c r="M374" s="4"/>
      <c r="O374" s="4"/>
    </row>
    <row r="375">
      <c r="B375" s="9"/>
      <c r="C375" s="10"/>
      <c r="L375" s="4"/>
      <c r="M375" s="4"/>
      <c r="O375" s="4"/>
    </row>
    <row r="376">
      <c r="B376" s="9"/>
      <c r="C376" s="10"/>
      <c r="L376" s="4"/>
      <c r="M376" s="4"/>
      <c r="O376" s="4"/>
    </row>
    <row r="377">
      <c r="B377" s="9"/>
      <c r="C377" s="10"/>
      <c r="L377" s="4"/>
      <c r="M377" s="4"/>
      <c r="O377" s="4"/>
    </row>
    <row r="378">
      <c r="B378" s="9"/>
      <c r="C378" s="10"/>
      <c r="L378" s="4"/>
      <c r="M378" s="4"/>
      <c r="O378" s="4"/>
    </row>
    <row r="379">
      <c r="B379" s="9"/>
      <c r="C379" s="10"/>
      <c r="L379" s="4"/>
      <c r="M379" s="4"/>
      <c r="O379" s="4"/>
    </row>
    <row r="380">
      <c r="B380" s="9"/>
      <c r="C380" s="10"/>
      <c r="L380" s="4"/>
      <c r="M380" s="4"/>
      <c r="O380" s="4"/>
    </row>
    <row r="381">
      <c r="B381" s="9"/>
      <c r="C381" s="10"/>
      <c r="L381" s="4"/>
      <c r="M381" s="4"/>
      <c r="O381" s="4"/>
    </row>
    <row r="382">
      <c r="B382" s="9"/>
      <c r="C382" s="10"/>
      <c r="L382" s="4"/>
      <c r="M382" s="4"/>
      <c r="O382" s="4"/>
    </row>
    <row r="383">
      <c r="B383" s="9"/>
      <c r="C383" s="10"/>
      <c r="L383" s="4"/>
      <c r="M383" s="4"/>
      <c r="O383" s="4"/>
    </row>
    <row r="384">
      <c r="B384" s="9"/>
      <c r="C384" s="10"/>
      <c r="L384" s="4"/>
      <c r="M384" s="4"/>
      <c r="O384" s="4"/>
    </row>
    <row r="385">
      <c r="B385" s="9"/>
      <c r="C385" s="10"/>
      <c r="L385" s="4"/>
      <c r="M385" s="4"/>
      <c r="O385" s="4"/>
    </row>
    <row r="386">
      <c r="B386" s="9"/>
      <c r="C386" s="10"/>
      <c r="L386" s="4"/>
      <c r="M386" s="4"/>
      <c r="O386" s="4"/>
    </row>
    <row r="387">
      <c r="B387" s="9"/>
      <c r="C387" s="10"/>
      <c r="L387" s="4"/>
      <c r="M387" s="4"/>
      <c r="O387" s="4"/>
    </row>
    <row r="388">
      <c r="B388" s="9"/>
      <c r="C388" s="10"/>
      <c r="L388" s="4"/>
      <c r="M388" s="4"/>
      <c r="O388" s="4"/>
    </row>
    <row r="389">
      <c r="B389" s="9"/>
      <c r="C389" s="10"/>
      <c r="L389" s="4"/>
      <c r="M389" s="4"/>
      <c r="O389" s="4"/>
    </row>
    <row r="390">
      <c r="B390" s="9"/>
      <c r="C390" s="10"/>
      <c r="L390" s="4"/>
      <c r="M390" s="4"/>
      <c r="O390" s="4"/>
    </row>
    <row r="391">
      <c r="B391" s="9"/>
      <c r="C391" s="10"/>
      <c r="L391" s="4"/>
      <c r="M391" s="4"/>
      <c r="O391" s="4"/>
    </row>
    <row r="392">
      <c r="B392" s="9"/>
      <c r="C392" s="10"/>
      <c r="L392" s="4"/>
      <c r="M392" s="4"/>
      <c r="O392" s="4"/>
    </row>
    <row r="393">
      <c r="B393" s="9"/>
      <c r="C393" s="10"/>
      <c r="L393" s="4"/>
      <c r="M393" s="4"/>
      <c r="O393" s="4"/>
    </row>
    <row r="394">
      <c r="B394" s="9"/>
      <c r="C394" s="10"/>
      <c r="L394" s="4"/>
      <c r="M394" s="4"/>
      <c r="O394" s="4"/>
    </row>
    <row r="395">
      <c r="B395" s="9"/>
      <c r="C395" s="10"/>
      <c r="L395" s="4"/>
      <c r="M395" s="4"/>
      <c r="O395" s="4"/>
    </row>
    <row r="396">
      <c r="B396" s="9"/>
      <c r="C396" s="10"/>
      <c r="L396" s="4"/>
      <c r="M396" s="4"/>
      <c r="O396" s="4"/>
    </row>
    <row r="397">
      <c r="B397" s="9"/>
      <c r="C397" s="10"/>
      <c r="L397" s="4"/>
      <c r="M397" s="4"/>
      <c r="O397" s="4"/>
    </row>
    <row r="398">
      <c r="B398" s="9"/>
      <c r="C398" s="10"/>
      <c r="L398" s="4"/>
      <c r="M398" s="4"/>
      <c r="O398" s="4"/>
    </row>
    <row r="399">
      <c r="B399" s="9"/>
      <c r="C399" s="10"/>
      <c r="L399" s="4"/>
      <c r="M399" s="4"/>
      <c r="O399" s="4"/>
    </row>
    <row r="400">
      <c r="B400" s="9"/>
      <c r="C400" s="10"/>
      <c r="L400" s="4"/>
      <c r="M400" s="4"/>
      <c r="O400" s="4"/>
    </row>
    <row r="401">
      <c r="B401" s="9"/>
      <c r="C401" s="10"/>
      <c r="L401" s="4"/>
      <c r="M401" s="4"/>
      <c r="O401" s="4"/>
    </row>
    <row r="402">
      <c r="B402" s="9"/>
      <c r="C402" s="10"/>
      <c r="L402" s="4"/>
      <c r="M402" s="4"/>
      <c r="O402" s="4"/>
    </row>
    <row r="403">
      <c r="B403" s="9"/>
      <c r="C403" s="10"/>
      <c r="L403" s="4"/>
      <c r="M403" s="4"/>
      <c r="O403" s="4"/>
    </row>
    <row r="404">
      <c r="B404" s="9"/>
      <c r="C404" s="10"/>
      <c r="L404" s="4"/>
      <c r="M404" s="4"/>
      <c r="O404" s="4"/>
    </row>
    <row r="405">
      <c r="B405" s="9"/>
      <c r="C405" s="10"/>
      <c r="L405" s="4"/>
      <c r="M405" s="4"/>
      <c r="O405" s="4"/>
    </row>
    <row r="406">
      <c r="B406" s="9"/>
      <c r="C406" s="10"/>
      <c r="L406" s="4"/>
      <c r="M406" s="4"/>
      <c r="O406" s="4"/>
    </row>
    <row r="407">
      <c r="B407" s="9"/>
      <c r="C407" s="10"/>
      <c r="L407" s="4"/>
      <c r="M407" s="4"/>
      <c r="O407" s="4"/>
    </row>
    <row r="408">
      <c r="B408" s="9"/>
      <c r="C408" s="10"/>
      <c r="L408" s="4"/>
      <c r="M408" s="4"/>
      <c r="O408" s="4"/>
    </row>
    <row r="409">
      <c r="B409" s="9"/>
      <c r="C409" s="10"/>
      <c r="L409" s="4"/>
      <c r="M409" s="4"/>
      <c r="O409" s="4"/>
    </row>
    <row r="410">
      <c r="B410" s="9"/>
      <c r="C410" s="10"/>
      <c r="L410" s="4"/>
      <c r="M410" s="4"/>
      <c r="O410" s="4"/>
    </row>
    <row r="411">
      <c r="B411" s="9"/>
      <c r="C411" s="10"/>
      <c r="L411" s="4"/>
      <c r="M411" s="4"/>
      <c r="O411" s="4"/>
    </row>
    <row r="412">
      <c r="B412" s="9"/>
      <c r="C412" s="10"/>
      <c r="L412" s="4"/>
      <c r="M412" s="4"/>
      <c r="O412" s="4"/>
    </row>
    <row r="413">
      <c r="B413" s="9"/>
      <c r="C413" s="10"/>
      <c r="L413" s="4"/>
      <c r="M413" s="4"/>
      <c r="O413" s="4"/>
    </row>
    <row r="414">
      <c r="B414" s="9"/>
      <c r="C414" s="10"/>
      <c r="L414" s="4"/>
      <c r="M414" s="4"/>
      <c r="O414" s="4"/>
    </row>
    <row r="415">
      <c r="B415" s="9"/>
      <c r="C415" s="10"/>
      <c r="L415" s="4"/>
      <c r="M415" s="4"/>
      <c r="O415" s="4"/>
    </row>
    <row r="416">
      <c r="B416" s="9"/>
      <c r="C416" s="10"/>
      <c r="L416" s="4"/>
      <c r="M416" s="4"/>
      <c r="O416" s="4"/>
    </row>
    <row r="417">
      <c r="B417" s="9"/>
      <c r="C417" s="10"/>
      <c r="L417" s="4"/>
      <c r="M417" s="4"/>
      <c r="O417" s="4"/>
    </row>
    <row r="418">
      <c r="B418" s="9"/>
      <c r="C418" s="10"/>
      <c r="L418" s="4"/>
      <c r="M418" s="4"/>
      <c r="O418" s="4"/>
    </row>
    <row r="419">
      <c r="B419" s="9"/>
      <c r="C419" s="10"/>
      <c r="L419" s="4"/>
      <c r="M419" s="4"/>
      <c r="O419" s="4"/>
    </row>
    <row r="420">
      <c r="B420" s="9"/>
      <c r="C420" s="10"/>
      <c r="L420" s="4"/>
      <c r="M420" s="4"/>
      <c r="O420" s="4"/>
    </row>
    <row r="421">
      <c r="B421" s="9"/>
      <c r="C421" s="10"/>
      <c r="L421" s="4"/>
      <c r="M421" s="4"/>
      <c r="O421" s="4"/>
    </row>
    <row r="422">
      <c r="B422" s="9"/>
      <c r="C422" s="10"/>
      <c r="L422" s="4"/>
      <c r="M422" s="4"/>
      <c r="O422" s="4"/>
    </row>
    <row r="423">
      <c r="B423" s="9"/>
      <c r="C423" s="10"/>
      <c r="L423" s="4"/>
      <c r="M423" s="4"/>
      <c r="O423" s="4"/>
    </row>
    <row r="424">
      <c r="B424" s="9"/>
      <c r="C424" s="10"/>
      <c r="L424" s="4"/>
      <c r="M424" s="4"/>
      <c r="O424" s="4"/>
    </row>
    <row r="425">
      <c r="B425" s="9"/>
      <c r="C425" s="10"/>
      <c r="L425" s="4"/>
      <c r="M425" s="4"/>
      <c r="O425" s="4"/>
    </row>
    <row r="426">
      <c r="B426" s="9"/>
      <c r="C426" s="10"/>
      <c r="L426" s="4"/>
      <c r="M426" s="4"/>
      <c r="O426" s="4"/>
    </row>
    <row r="427">
      <c r="B427" s="9"/>
      <c r="C427" s="10"/>
      <c r="L427" s="4"/>
      <c r="M427" s="4"/>
      <c r="O427" s="4"/>
    </row>
    <row r="428">
      <c r="B428" s="9"/>
      <c r="C428" s="10"/>
      <c r="L428" s="4"/>
      <c r="M428" s="4"/>
      <c r="O428" s="4"/>
    </row>
    <row r="429">
      <c r="B429" s="9"/>
      <c r="C429" s="10"/>
      <c r="L429" s="4"/>
      <c r="M429" s="4"/>
      <c r="O429" s="4"/>
    </row>
    <row r="430">
      <c r="B430" s="9"/>
      <c r="C430" s="10"/>
      <c r="L430" s="4"/>
      <c r="M430" s="4"/>
      <c r="O430" s="4"/>
    </row>
    <row r="431">
      <c r="B431" s="9"/>
      <c r="C431" s="10"/>
      <c r="L431" s="4"/>
      <c r="M431" s="4"/>
      <c r="O431" s="4"/>
    </row>
    <row r="432">
      <c r="B432" s="9"/>
      <c r="C432" s="10"/>
      <c r="L432" s="4"/>
      <c r="M432" s="4"/>
      <c r="O432" s="4"/>
    </row>
    <row r="433">
      <c r="B433" s="9"/>
      <c r="C433" s="10"/>
      <c r="L433" s="4"/>
      <c r="M433" s="4"/>
      <c r="O433" s="4"/>
    </row>
    <row r="434">
      <c r="B434" s="9"/>
      <c r="C434" s="10"/>
      <c r="L434" s="4"/>
      <c r="M434" s="4"/>
      <c r="O434" s="4"/>
    </row>
    <row r="435">
      <c r="B435" s="9"/>
      <c r="C435" s="10"/>
      <c r="L435" s="4"/>
      <c r="M435" s="4"/>
      <c r="O435" s="4"/>
    </row>
    <row r="436">
      <c r="B436" s="9"/>
      <c r="C436" s="10"/>
      <c r="L436" s="4"/>
      <c r="M436" s="4"/>
      <c r="O436" s="4"/>
    </row>
    <row r="437">
      <c r="B437" s="9"/>
      <c r="C437" s="10"/>
      <c r="L437" s="4"/>
      <c r="M437" s="4"/>
      <c r="O437" s="4"/>
    </row>
    <row r="438">
      <c r="B438" s="9"/>
      <c r="C438" s="10"/>
      <c r="L438" s="4"/>
      <c r="M438" s="4"/>
      <c r="O438" s="4"/>
    </row>
    <row r="439">
      <c r="B439" s="9"/>
      <c r="C439" s="10"/>
      <c r="L439" s="4"/>
      <c r="M439" s="4"/>
      <c r="O439" s="4"/>
    </row>
    <row r="440">
      <c r="B440" s="9"/>
      <c r="C440" s="10"/>
      <c r="L440" s="4"/>
      <c r="M440" s="4"/>
      <c r="O440" s="4"/>
    </row>
    <row r="441">
      <c r="B441" s="9"/>
      <c r="C441" s="10"/>
      <c r="L441" s="4"/>
      <c r="M441" s="4"/>
      <c r="O441" s="4"/>
    </row>
    <row r="442">
      <c r="B442" s="9"/>
      <c r="C442" s="10"/>
      <c r="L442" s="4"/>
      <c r="M442" s="4"/>
      <c r="O442" s="4"/>
    </row>
    <row r="443">
      <c r="B443" s="9"/>
      <c r="C443" s="10"/>
      <c r="L443" s="4"/>
      <c r="M443" s="4"/>
      <c r="O443" s="4"/>
    </row>
    <row r="444">
      <c r="B444" s="9"/>
      <c r="C444" s="10"/>
      <c r="L444" s="4"/>
      <c r="M444" s="4"/>
      <c r="O444" s="4"/>
    </row>
    <row r="445">
      <c r="B445" s="9"/>
      <c r="C445" s="10"/>
      <c r="L445" s="4"/>
      <c r="M445" s="4"/>
      <c r="O445" s="4"/>
    </row>
    <row r="446">
      <c r="B446" s="9"/>
      <c r="C446" s="10"/>
      <c r="L446" s="4"/>
      <c r="M446" s="4"/>
      <c r="O446" s="4"/>
    </row>
    <row r="447">
      <c r="B447" s="9"/>
      <c r="C447" s="10"/>
      <c r="L447" s="4"/>
      <c r="M447" s="4"/>
      <c r="O447" s="4"/>
    </row>
    <row r="448">
      <c r="B448" s="9"/>
      <c r="C448" s="10"/>
      <c r="L448" s="4"/>
      <c r="M448" s="4"/>
      <c r="O448" s="4"/>
    </row>
    <row r="449">
      <c r="B449" s="9"/>
      <c r="C449" s="10"/>
      <c r="L449" s="4"/>
      <c r="M449" s="4"/>
      <c r="O449" s="4"/>
    </row>
    <row r="450">
      <c r="B450" s="9"/>
      <c r="C450" s="10"/>
      <c r="L450" s="4"/>
      <c r="M450" s="4"/>
      <c r="O450" s="4"/>
    </row>
    <row r="451">
      <c r="B451" s="9"/>
      <c r="C451" s="10"/>
      <c r="L451" s="4"/>
      <c r="M451" s="4"/>
      <c r="O451" s="4"/>
    </row>
    <row r="452">
      <c r="B452" s="9"/>
      <c r="C452" s="10"/>
      <c r="L452" s="4"/>
      <c r="M452" s="4"/>
      <c r="O452" s="4"/>
    </row>
    <row r="453">
      <c r="B453" s="9"/>
      <c r="C453" s="10"/>
      <c r="L453" s="4"/>
      <c r="M453" s="4"/>
      <c r="O453" s="4"/>
    </row>
    <row r="454">
      <c r="B454" s="9"/>
      <c r="C454" s="10"/>
      <c r="L454" s="4"/>
      <c r="M454" s="4"/>
      <c r="O454" s="4"/>
    </row>
    <row r="455">
      <c r="B455" s="9"/>
      <c r="C455" s="10"/>
      <c r="L455" s="4"/>
      <c r="M455" s="4"/>
      <c r="O455" s="4"/>
    </row>
    <row r="456">
      <c r="B456" s="9"/>
      <c r="C456" s="10"/>
      <c r="L456" s="4"/>
      <c r="M456" s="4"/>
      <c r="O456" s="4"/>
    </row>
    <row r="457">
      <c r="B457" s="9"/>
      <c r="C457" s="10"/>
      <c r="L457" s="4"/>
      <c r="M457" s="4"/>
      <c r="O457" s="4"/>
    </row>
    <row r="458">
      <c r="B458" s="9"/>
      <c r="C458" s="10"/>
      <c r="L458" s="4"/>
      <c r="M458" s="4"/>
      <c r="O458" s="4"/>
    </row>
    <row r="459">
      <c r="B459" s="9"/>
      <c r="C459" s="10"/>
      <c r="L459" s="4"/>
      <c r="M459" s="4"/>
      <c r="O459" s="4"/>
    </row>
    <row r="460">
      <c r="B460" s="9"/>
      <c r="C460" s="10"/>
      <c r="L460" s="4"/>
      <c r="M460" s="4"/>
      <c r="O460" s="4"/>
    </row>
    <row r="461">
      <c r="B461" s="9"/>
      <c r="C461" s="10"/>
      <c r="L461" s="4"/>
      <c r="M461" s="4"/>
      <c r="O461" s="4"/>
    </row>
    <row r="462">
      <c r="B462" s="9"/>
      <c r="C462" s="10"/>
      <c r="L462" s="4"/>
      <c r="M462" s="4"/>
      <c r="O462" s="4"/>
    </row>
    <row r="463">
      <c r="B463" s="9"/>
      <c r="C463" s="10"/>
      <c r="L463" s="4"/>
      <c r="M463" s="4"/>
      <c r="O463" s="4"/>
    </row>
    <row r="464">
      <c r="B464" s="9"/>
      <c r="C464" s="10"/>
      <c r="L464" s="4"/>
      <c r="M464" s="4"/>
      <c r="O464" s="4"/>
    </row>
    <row r="465">
      <c r="B465" s="9"/>
      <c r="C465" s="10"/>
      <c r="L465" s="4"/>
      <c r="M465" s="4"/>
      <c r="O465" s="4"/>
    </row>
    <row r="466">
      <c r="B466" s="9"/>
      <c r="C466" s="10"/>
      <c r="L466" s="4"/>
      <c r="M466" s="4"/>
      <c r="O466" s="4"/>
    </row>
    <row r="467">
      <c r="B467" s="9"/>
      <c r="C467" s="10"/>
      <c r="L467" s="4"/>
      <c r="M467" s="4"/>
      <c r="O467" s="4"/>
    </row>
    <row r="468">
      <c r="B468" s="9"/>
      <c r="C468" s="10"/>
      <c r="L468" s="4"/>
      <c r="M468" s="4"/>
      <c r="O468" s="4"/>
    </row>
    <row r="469">
      <c r="B469" s="9"/>
      <c r="C469" s="10"/>
      <c r="L469" s="4"/>
      <c r="M469" s="4"/>
      <c r="O469" s="4"/>
    </row>
    <row r="470">
      <c r="B470" s="9"/>
      <c r="C470" s="10"/>
      <c r="L470" s="4"/>
      <c r="M470" s="4"/>
      <c r="O470" s="4"/>
    </row>
    <row r="471">
      <c r="B471" s="9"/>
      <c r="C471" s="10"/>
      <c r="L471" s="4"/>
      <c r="M471" s="4"/>
      <c r="O471" s="4"/>
    </row>
    <row r="472">
      <c r="B472" s="9"/>
      <c r="C472" s="10"/>
      <c r="L472" s="4"/>
      <c r="M472" s="4"/>
      <c r="O472" s="4"/>
    </row>
    <row r="473">
      <c r="B473" s="9"/>
      <c r="C473" s="10"/>
      <c r="L473" s="4"/>
      <c r="M473" s="4"/>
      <c r="O473" s="4"/>
    </row>
    <row r="474">
      <c r="B474" s="9"/>
      <c r="C474" s="10"/>
      <c r="L474" s="4"/>
      <c r="M474" s="4"/>
      <c r="O474" s="4"/>
    </row>
    <row r="475">
      <c r="B475" s="9"/>
      <c r="C475" s="10"/>
      <c r="L475" s="4"/>
      <c r="M475" s="4"/>
      <c r="O475" s="4"/>
    </row>
    <row r="476">
      <c r="B476" s="9"/>
      <c r="C476" s="10"/>
      <c r="L476" s="4"/>
      <c r="M476" s="4"/>
      <c r="O476" s="4"/>
    </row>
    <row r="477">
      <c r="B477" s="9"/>
      <c r="C477" s="10"/>
      <c r="L477" s="4"/>
      <c r="M477" s="4"/>
      <c r="O477" s="4"/>
    </row>
    <row r="478">
      <c r="B478" s="9"/>
      <c r="C478" s="10"/>
      <c r="L478" s="4"/>
      <c r="M478" s="4"/>
      <c r="O478" s="4"/>
    </row>
    <row r="479">
      <c r="B479" s="9"/>
      <c r="C479" s="10"/>
      <c r="L479" s="4"/>
      <c r="M479" s="4"/>
      <c r="O479" s="4"/>
    </row>
    <row r="480">
      <c r="B480" s="9"/>
      <c r="C480" s="10"/>
      <c r="L480" s="4"/>
      <c r="M480" s="4"/>
      <c r="O480" s="4"/>
    </row>
    <row r="481">
      <c r="B481" s="9"/>
      <c r="C481" s="10"/>
      <c r="L481" s="4"/>
      <c r="M481" s="4"/>
      <c r="O481" s="4"/>
    </row>
    <row r="482">
      <c r="B482" s="9"/>
      <c r="C482" s="10"/>
      <c r="L482" s="4"/>
      <c r="M482" s="4"/>
      <c r="O482" s="4"/>
    </row>
    <row r="483">
      <c r="B483" s="9"/>
      <c r="C483" s="10"/>
      <c r="L483" s="4"/>
      <c r="M483" s="4"/>
      <c r="O483" s="4"/>
    </row>
    <row r="484">
      <c r="B484" s="9"/>
      <c r="C484" s="10"/>
      <c r="L484" s="4"/>
      <c r="M484" s="4"/>
      <c r="O484" s="4"/>
    </row>
    <row r="485">
      <c r="B485" s="9"/>
      <c r="C485" s="10"/>
      <c r="L485" s="4"/>
      <c r="M485" s="4"/>
      <c r="O485" s="4"/>
    </row>
    <row r="486">
      <c r="B486" s="9"/>
      <c r="C486" s="10"/>
      <c r="L486" s="4"/>
      <c r="M486" s="4"/>
      <c r="O486" s="4"/>
    </row>
    <row r="487">
      <c r="B487" s="9"/>
      <c r="C487" s="10"/>
      <c r="L487" s="4"/>
      <c r="M487" s="4"/>
      <c r="O487" s="4"/>
    </row>
    <row r="488">
      <c r="B488" s="9"/>
      <c r="C488" s="10"/>
      <c r="L488" s="4"/>
      <c r="M488" s="4"/>
      <c r="O488" s="4"/>
    </row>
    <row r="489">
      <c r="B489" s="9"/>
      <c r="C489" s="10"/>
      <c r="L489" s="4"/>
      <c r="M489" s="4"/>
      <c r="O489" s="4"/>
    </row>
    <row r="490">
      <c r="B490" s="9"/>
      <c r="C490" s="10"/>
      <c r="L490" s="4"/>
      <c r="M490" s="4"/>
      <c r="O490" s="4"/>
    </row>
    <row r="491">
      <c r="B491" s="9"/>
      <c r="C491" s="10"/>
      <c r="L491" s="4"/>
      <c r="M491" s="4"/>
      <c r="O491" s="4"/>
    </row>
    <row r="492">
      <c r="B492" s="9"/>
      <c r="C492" s="10"/>
      <c r="L492" s="4"/>
      <c r="M492" s="4"/>
      <c r="O492" s="4"/>
    </row>
    <row r="493">
      <c r="B493" s="9"/>
      <c r="C493" s="10"/>
      <c r="L493" s="4"/>
      <c r="M493" s="4"/>
      <c r="O493" s="4"/>
    </row>
    <row r="494">
      <c r="B494" s="9"/>
      <c r="C494" s="10"/>
      <c r="L494" s="4"/>
      <c r="M494" s="4"/>
      <c r="O494" s="4"/>
    </row>
    <row r="495">
      <c r="B495" s="9"/>
      <c r="C495" s="10"/>
      <c r="L495" s="4"/>
      <c r="M495" s="4"/>
      <c r="O495" s="4"/>
    </row>
    <row r="496">
      <c r="B496" s="9"/>
      <c r="C496" s="10"/>
      <c r="L496" s="4"/>
      <c r="M496" s="4"/>
      <c r="O496" s="4"/>
    </row>
    <row r="497">
      <c r="B497" s="9"/>
      <c r="C497" s="10"/>
      <c r="L497" s="4"/>
      <c r="M497" s="4"/>
      <c r="O497" s="4"/>
    </row>
    <row r="498">
      <c r="B498" s="9"/>
      <c r="C498" s="10"/>
      <c r="L498" s="4"/>
      <c r="M498" s="4"/>
      <c r="O498" s="4"/>
    </row>
    <row r="499">
      <c r="B499" s="9"/>
      <c r="C499" s="10"/>
      <c r="L499" s="4"/>
      <c r="M499" s="4"/>
      <c r="O499" s="4"/>
    </row>
    <row r="500">
      <c r="B500" s="9"/>
      <c r="C500" s="10"/>
      <c r="L500" s="4"/>
      <c r="M500" s="4"/>
      <c r="O500" s="4"/>
    </row>
    <row r="501">
      <c r="B501" s="9"/>
      <c r="C501" s="10"/>
      <c r="L501" s="4"/>
      <c r="M501" s="4"/>
      <c r="O501" s="4"/>
    </row>
    <row r="502">
      <c r="B502" s="9"/>
      <c r="C502" s="10"/>
      <c r="L502" s="4"/>
      <c r="M502" s="4"/>
      <c r="O502" s="4"/>
    </row>
    <row r="503">
      <c r="B503" s="9"/>
      <c r="C503" s="10"/>
      <c r="L503" s="4"/>
      <c r="M503" s="4"/>
      <c r="O503" s="4"/>
    </row>
    <row r="504">
      <c r="B504" s="9"/>
      <c r="C504" s="10"/>
      <c r="L504" s="4"/>
      <c r="M504" s="4"/>
      <c r="O504" s="4"/>
    </row>
    <row r="505">
      <c r="B505" s="9"/>
      <c r="C505" s="10"/>
      <c r="L505" s="4"/>
      <c r="M505" s="4"/>
      <c r="O505" s="4"/>
    </row>
    <row r="506">
      <c r="B506" s="9"/>
      <c r="C506" s="10"/>
      <c r="L506" s="4"/>
      <c r="M506" s="4"/>
      <c r="O506" s="4"/>
    </row>
    <row r="507">
      <c r="B507" s="9"/>
      <c r="C507" s="10"/>
      <c r="L507" s="4"/>
      <c r="M507" s="4"/>
      <c r="O507" s="4"/>
    </row>
    <row r="508">
      <c r="B508" s="9"/>
      <c r="C508" s="10"/>
      <c r="L508" s="4"/>
      <c r="M508" s="4"/>
      <c r="O508" s="4"/>
    </row>
    <row r="509">
      <c r="B509" s="9"/>
      <c r="C509" s="10"/>
      <c r="L509" s="4"/>
      <c r="M509" s="4"/>
      <c r="O509" s="4"/>
    </row>
    <row r="510">
      <c r="B510" s="9"/>
      <c r="C510" s="10"/>
      <c r="L510" s="4"/>
      <c r="M510" s="4"/>
      <c r="O510" s="4"/>
    </row>
    <row r="511">
      <c r="B511" s="9"/>
      <c r="C511" s="10"/>
      <c r="L511" s="4"/>
      <c r="M511" s="4"/>
      <c r="O511" s="4"/>
    </row>
    <row r="512">
      <c r="B512" s="9"/>
      <c r="C512" s="10"/>
      <c r="L512" s="4"/>
      <c r="M512" s="4"/>
      <c r="O512" s="4"/>
    </row>
    <row r="513">
      <c r="B513" s="9"/>
      <c r="C513" s="10"/>
      <c r="L513" s="4"/>
      <c r="M513" s="4"/>
      <c r="O513" s="4"/>
    </row>
    <row r="514">
      <c r="B514" s="9"/>
      <c r="C514" s="10"/>
      <c r="L514" s="4"/>
      <c r="M514" s="4"/>
      <c r="O514" s="4"/>
    </row>
    <row r="515">
      <c r="B515" s="9"/>
      <c r="C515" s="10"/>
      <c r="L515" s="4"/>
      <c r="M515" s="4"/>
      <c r="O515" s="4"/>
    </row>
    <row r="516">
      <c r="B516" s="9"/>
      <c r="C516" s="10"/>
      <c r="L516" s="4"/>
      <c r="M516" s="4"/>
      <c r="O516" s="4"/>
    </row>
    <row r="517">
      <c r="B517" s="9"/>
      <c r="C517" s="10"/>
      <c r="L517" s="4"/>
      <c r="M517" s="4"/>
      <c r="O517" s="4"/>
    </row>
    <row r="518">
      <c r="B518" s="9"/>
      <c r="C518" s="10"/>
      <c r="L518" s="4"/>
      <c r="M518" s="4"/>
      <c r="O518" s="4"/>
    </row>
    <row r="519">
      <c r="B519" s="9"/>
      <c r="C519" s="10"/>
      <c r="L519" s="4"/>
      <c r="M519" s="4"/>
      <c r="O519" s="4"/>
    </row>
    <row r="520">
      <c r="B520" s="9"/>
      <c r="C520" s="10"/>
      <c r="L520" s="4"/>
      <c r="M520" s="4"/>
      <c r="O520" s="4"/>
    </row>
    <row r="521">
      <c r="B521" s="9"/>
      <c r="C521" s="10"/>
      <c r="L521" s="4"/>
      <c r="M521" s="4"/>
      <c r="O521" s="4"/>
    </row>
    <row r="522">
      <c r="B522" s="9"/>
      <c r="C522" s="10"/>
      <c r="L522" s="4"/>
      <c r="M522" s="4"/>
      <c r="O522" s="4"/>
    </row>
    <row r="523">
      <c r="B523" s="9"/>
      <c r="C523" s="10"/>
      <c r="L523" s="4"/>
      <c r="M523" s="4"/>
      <c r="O523" s="4"/>
    </row>
    <row r="524">
      <c r="B524" s="9"/>
      <c r="C524" s="10"/>
      <c r="L524" s="4"/>
      <c r="M524" s="4"/>
      <c r="O524" s="4"/>
    </row>
    <row r="525">
      <c r="B525" s="9"/>
      <c r="C525" s="10"/>
      <c r="L525" s="4"/>
      <c r="M525" s="4"/>
      <c r="O525" s="4"/>
    </row>
    <row r="526">
      <c r="B526" s="9"/>
      <c r="C526" s="10"/>
      <c r="L526" s="4"/>
      <c r="M526" s="4"/>
      <c r="O526" s="4"/>
    </row>
    <row r="527">
      <c r="B527" s="9"/>
      <c r="C527" s="10"/>
      <c r="L527" s="4"/>
      <c r="M527" s="4"/>
      <c r="O527" s="4"/>
    </row>
    <row r="528">
      <c r="B528" s="9"/>
      <c r="C528" s="10"/>
      <c r="L528" s="4"/>
      <c r="M528" s="4"/>
      <c r="O528" s="4"/>
    </row>
    <row r="529">
      <c r="B529" s="9"/>
      <c r="C529" s="10"/>
      <c r="L529" s="4"/>
      <c r="M529" s="4"/>
      <c r="O529" s="4"/>
    </row>
    <row r="530">
      <c r="B530" s="9"/>
      <c r="C530" s="10"/>
      <c r="L530" s="4"/>
      <c r="M530" s="4"/>
      <c r="O530" s="4"/>
    </row>
    <row r="531">
      <c r="B531" s="9"/>
      <c r="C531" s="10"/>
      <c r="L531" s="4"/>
      <c r="M531" s="4"/>
      <c r="O531" s="4"/>
    </row>
    <row r="532">
      <c r="B532" s="9"/>
      <c r="C532" s="10"/>
      <c r="L532" s="4"/>
      <c r="M532" s="4"/>
      <c r="O532" s="4"/>
    </row>
    <row r="533">
      <c r="B533" s="9"/>
      <c r="C533" s="10"/>
      <c r="L533" s="4"/>
      <c r="M533" s="4"/>
      <c r="O533" s="4"/>
    </row>
    <row r="534">
      <c r="B534" s="9"/>
      <c r="C534" s="10"/>
      <c r="L534" s="4"/>
      <c r="M534" s="4"/>
      <c r="O534" s="4"/>
    </row>
    <row r="535">
      <c r="B535" s="9"/>
      <c r="C535" s="10"/>
      <c r="L535" s="4"/>
      <c r="M535" s="4"/>
      <c r="O535" s="4"/>
    </row>
    <row r="536">
      <c r="B536" s="9"/>
      <c r="C536" s="10"/>
      <c r="L536" s="4"/>
      <c r="M536" s="4"/>
      <c r="O536" s="4"/>
    </row>
    <row r="537">
      <c r="B537" s="9"/>
      <c r="C537" s="10"/>
      <c r="L537" s="4"/>
      <c r="M537" s="4"/>
      <c r="O537" s="4"/>
    </row>
    <row r="538">
      <c r="B538" s="9"/>
      <c r="C538" s="10"/>
      <c r="L538" s="4"/>
      <c r="M538" s="4"/>
      <c r="O538" s="4"/>
    </row>
    <row r="539">
      <c r="B539" s="9"/>
      <c r="C539" s="10"/>
      <c r="L539" s="4"/>
      <c r="M539" s="4"/>
      <c r="O539" s="4"/>
    </row>
    <row r="540">
      <c r="B540" s="9"/>
      <c r="C540" s="10"/>
      <c r="L540" s="4"/>
      <c r="M540" s="4"/>
      <c r="O540" s="4"/>
    </row>
    <row r="541">
      <c r="B541" s="9"/>
      <c r="C541" s="10"/>
      <c r="L541" s="4"/>
      <c r="M541" s="4"/>
      <c r="O541" s="4"/>
    </row>
    <row r="542">
      <c r="B542" s="9"/>
      <c r="C542" s="10"/>
      <c r="L542" s="4"/>
      <c r="M542" s="4"/>
      <c r="O542" s="4"/>
    </row>
    <row r="543">
      <c r="B543" s="9"/>
      <c r="C543" s="10"/>
      <c r="L543" s="4"/>
      <c r="M543" s="4"/>
      <c r="O543" s="4"/>
    </row>
    <row r="544">
      <c r="B544" s="9"/>
      <c r="C544" s="10"/>
      <c r="L544" s="4"/>
      <c r="M544" s="4"/>
      <c r="O544" s="4"/>
    </row>
    <row r="545">
      <c r="B545" s="9"/>
      <c r="C545" s="10"/>
      <c r="L545" s="4"/>
      <c r="M545" s="4"/>
      <c r="O545" s="4"/>
    </row>
    <row r="546">
      <c r="B546" s="9"/>
      <c r="C546" s="10"/>
      <c r="L546" s="4"/>
      <c r="M546" s="4"/>
      <c r="O546" s="4"/>
    </row>
    <row r="547">
      <c r="B547" s="9"/>
      <c r="C547" s="10"/>
      <c r="L547" s="4"/>
      <c r="M547" s="4"/>
      <c r="O547" s="4"/>
    </row>
    <row r="548">
      <c r="B548" s="9"/>
      <c r="C548" s="10"/>
      <c r="L548" s="4"/>
      <c r="M548" s="4"/>
      <c r="O548" s="4"/>
    </row>
    <row r="549">
      <c r="B549" s="9"/>
      <c r="C549" s="10"/>
      <c r="L549" s="4"/>
      <c r="M549" s="4"/>
      <c r="O549" s="4"/>
    </row>
    <row r="550">
      <c r="B550" s="9"/>
      <c r="C550" s="10"/>
      <c r="L550" s="4"/>
      <c r="M550" s="4"/>
      <c r="O550" s="4"/>
    </row>
    <row r="551">
      <c r="B551" s="9"/>
      <c r="C551" s="10"/>
      <c r="L551" s="4"/>
      <c r="M551" s="4"/>
      <c r="O551" s="4"/>
    </row>
    <row r="552">
      <c r="B552" s="9"/>
      <c r="C552" s="10"/>
      <c r="L552" s="4"/>
      <c r="M552" s="4"/>
      <c r="O552" s="4"/>
    </row>
    <row r="553">
      <c r="B553" s="9"/>
      <c r="C553" s="10"/>
      <c r="L553" s="4"/>
      <c r="M553" s="4"/>
      <c r="O553" s="4"/>
    </row>
    <row r="554">
      <c r="B554" s="9"/>
      <c r="C554" s="10"/>
      <c r="L554" s="4"/>
      <c r="M554" s="4"/>
      <c r="O554" s="4"/>
    </row>
    <row r="555">
      <c r="B555" s="9"/>
      <c r="C555" s="10"/>
      <c r="L555" s="4"/>
      <c r="M555" s="4"/>
      <c r="O555" s="4"/>
    </row>
    <row r="556">
      <c r="B556" s="9"/>
      <c r="C556" s="10"/>
      <c r="L556" s="4"/>
      <c r="M556" s="4"/>
      <c r="O556" s="4"/>
    </row>
    <row r="557">
      <c r="B557" s="9"/>
      <c r="C557" s="10"/>
      <c r="L557" s="4"/>
      <c r="M557" s="4"/>
      <c r="O557" s="4"/>
    </row>
    <row r="558">
      <c r="B558" s="9"/>
      <c r="C558" s="10"/>
      <c r="L558" s="4"/>
      <c r="M558" s="4"/>
      <c r="O558" s="4"/>
    </row>
    <row r="559">
      <c r="B559" s="9"/>
      <c r="C559" s="10"/>
      <c r="L559" s="4"/>
      <c r="M559" s="4"/>
      <c r="O559" s="4"/>
    </row>
    <row r="560">
      <c r="B560" s="9"/>
      <c r="C560" s="10"/>
      <c r="L560" s="4"/>
      <c r="M560" s="4"/>
      <c r="O560" s="4"/>
    </row>
    <row r="561">
      <c r="B561" s="9"/>
      <c r="C561" s="10"/>
      <c r="L561" s="4"/>
      <c r="M561" s="4"/>
      <c r="O561" s="4"/>
    </row>
    <row r="562">
      <c r="B562" s="9"/>
      <c r="C562" s="10"/>
      <c r="L562" s="4"/>
      <c r="M562" s="4"/>
      <c r="O562" s="4"/>
    </row>
    <row r="563">
      <c r="B563" s="9"/>
      <c r="C563" s="10"/>
      <c r="L563" s="4"/>
      <c r="M563" s="4"/>
      <c r="O563" s="4"/>
    </row>
    <row r="564">
      <c r="B564" s="9"/>
      <c r="C564" s="10"/>
      <c r="L564" s="4"/>
      <c r="M564" s="4"/>
      <c r="O564" s="4"/>
    </row>
    <row r="565">
      <c r="B565" s="9"/>
      <c r="C565" s="10"/>
      <c r="L565" s="4"/>
      <c r="M565" s="4"/>
      <c r="O565" s="4"/>
    </row>
    <row r="566">
      <c r="B566" s="9"/>
      <c r="C566" s="10"/>
      <c r="L566" s="4"/>
      <c r="M566" s="4"/>
      <c r="O566" s="4"/>
    </row>
    <row r="567">
      <c r="B567" s="9"/>
      <c r="C567" s="10"/>
      <c r="L567" s="4"/>
      <c r="M567" s="4"/>
      <c r="O567" s="4"/>
    </row>
    <row r="568">
      <c r="B568" s="9"/>
      <c r="C568" s="10"/>
      <c r="L568" s="4"/>
      <c r="M568" s="4"/>
      <c r="O568" s="4"/>
    </row>
    <row r="569">
      <c r="B569" s="9"/>
      <c r="C569" s="10"/>
      <c r="L569" s="4"/>
      <c r="M569" s="4"/>
      <c r="O569" s="4"/>
    </row>
    <row r="570">
      <c r="B570" s="9"/>
      <c r="C570" s="10"/>
      <c r="L570" s="4"/>
      <c r="M570" s="4"/>
      <c r="O570" s="4"/>
    </row>
    <row r="571">
      <c r="B571" s="9"/>
      <c r="C571" s="10"/>
      <c r="L571" s="4"/>
      <c r="M571" s="4"/>
      <c r="O571" s="4"/>
    </row>
    <row r="572">
      <c r="B572" s="9"/>
      <c r="C572" s="10"/>
      <c r="L572" s="4"/>
      <c r="M572" s="4"/>
      <c r="O572" s="4"/>
    </row>
    <row r="573">
      <c r="B573" s="9"/>
      <c r="C573" s="10"/>
      <c r="L573" s="4"/>
      <c r="M573" s="4"/>
      <c r="O573" s="4"/>
    </row>
    <row r="574">
      <c r="B574" s="9"/>
      <c r="C574" s="10"/>
      <c r="L574" s="4"/>
      <c r="M574" s="4"/>
      <c r="O574" s="4"/>
    </row>
    <row r="575">
      <c r="B575" s="9"/>
      <c r="C575" s="10"/>
      <c r="L575" s="4"/>
      <c r="M575" s="4"/>
      <c r="O575" s="4"/>
    </row>
    <row r="576">
      <c r="B576" s="9"/>
      <c r="C576" s="10"/>
      <c r="L576" s="4"/>
      <c r="M576" s="4"/>
      <c r="O576" s="4"/>
    </row>
    <row r="577">
      <c r="B577" s="9"/>
      <c r="C577" s="10"/>
      <c r="L577" s="4"/>
      <c r="M577" s="4"/>
      <c r="O577" s="4"/>
    </row>
    <row r="578">
      <c r="B578" s="9"/>
      <c r="C578" s="10"/>
      <c r="L578" s="4"/>
      <c r="M578" s="4"/>
      <c r="O578" s="4"/>
    </row>
    <row r="579">
      <c r="B579" s="9"/>
      <c r="C579" s="10"/>
      <c r="L579" s="4"/>
      <c r="M579" s="4"/>
      <c r="O579" s="4"/>
    </row>
    <row r="580">
      <c r="B580" s="9"/>
      <c r="C580" s="10"/>
      <c r="L580" s="4"/>
      <c r="M580" s="4"/>
      <c r="O580" s="4"/>
    </row>
    <row r="581">
      <c r="B581" s="9"/>
      <c r="C581" s="10"/>
      <c r="L581" s="4"/>
      <c r="M581" s="4"/>
      <c r="O581" s="4"/>
    </row>
    <row r="582">
      <c r="B582" s="9"/>
      <c r="C582" s="10"/>
      <c r="L582" s="4"/>
      <c r="M582" s="4"/>
      <c r="O582" s="4"/>
    </row>
    <row r="583">
      <c r="B583" s="9"/>
      <c r="C583" s="10"/>
      <c r="L583" s="4"/>
      <c r="M583" s="4"/>
      <c r="O583" s="4"/>
    </row>
    <row r="584">
      <c r="B584" s="9"/>
      <c r="C584" s="10"/>
      <c r="L584" s="4"/>
      <c r="M584" s="4"/>
      <c r="O584" s="4"/>
    </row>
    <row r="585">
      <c r="B585" s="9"/>
      <c r="C585" s="10"/>
      <c r="L585" s="4"/>
      <c r="M585" s="4"/>
      <c r="O585" s="4"/>
    </row>
    <row r="586">
      <c r="B586" s="9"/>
      <c r="C586" s="10"/>
      <c r="L586" s="4"/>
      <c r="M586" s="4"/>
      <c r="O586" s="4"/>
    </row>
    <row r="587">
      <c r="B587" s="9"/>
      <c r="C587" s="10"/>
      <c r="L587" s="4"/>
      <c r="M587" s="4"/>
      <c r="O587" s="4"/>
    </row>
    <row r="588">
      <c r="B588" s="9"/>
      <c r="C588" s="10"/>
      <c r="L588" s="4"/>
      <c r="M588" s="4"/>
      <c r="O588" s="4"/>
    </row>
    <row r="589">
      <c r="B589" s="9"/>
      <c r="C589" s="10"/>
      <c r="L589" s="4"/>
      <c r="M589" s="4"/>
      <c r="O589" s="4"/>
    </row>
    <row r="590">
      <c r="B590" s="9"/>
      <c r="C590" s="10"/>
      <c r="L590" s="4"/>
      <c r="M590" s="4"/>
      <c r="O590" s="4"/>
    </row>
    <row r="591">
      <c r="B591" s="9"/>
      <c r="C591" s="10"/>
      <c r="L591" s="4"/>
      <c r="M591" s="4"/>
      <c r="O591" s="4"/>
    </row>
    <row r="592">
      <c r="B592" s="9"/>
      <c r="C592" s="10"/>
      <c r="L592" s="4"/>
      <c r="M592" s="4"/>
      <c r="O592" s="4"/>
    </row>
    <row r="593">
      <c r="B593" s="9"/>
      <c r="C593" s="10"/>
      <c r="L593" s="4"/>
      <c r="M593" s="4"/>
      <c r="O593" s="4"/>
    </row>
    <row r="594">
      <c r="B594" s="9"/>
      <c r="C594" s="10"/>
      <c r="L594" s="4"/>
      <c r="M594" s="4"/>
      <c r="O594" s="4"/>
    </row>
    <row r="595">
      <c r="B595" s="9"/>
      <c r="C595" s="10"/>
      <c r="L595" s="4"/>
      <c r="M595" s="4"/>
      <c r="O595" s="4"/>
    </row>
    <row r="596">
      <c r="B596" s="9"/>
      <c r="C596" s="10"/>
      <c r="L596" s="4"/>
      <c r="M596" s="4"/>
      <c r="O596" s="4"/>
    </row>
    <row r="597">
      <c r="B597" s="9"/>
      <c r="C597" s="10"/>
      <c r="L597" s="4"/>
      <c r="M597" s="4"/>
      <c r="O597" s="4"/>
    </row>
    <row r="598">
      <c r="B598" s="9"/>
      <c r="C598" s="10"/>
      <c r="L598" s="4"/>
      <c r="M598" s="4"/>
      <c r="O598" s="4"/>
    </row>
    <row r="599">
      <c r="B599" s="9"/>
      <c r="C599" s="10"/>
      <c r="L599" s="4"/>
      <c r="M599" s="4"/>
      <c r="O599" s="4"/>
    </row>
    <row r="600">
      <c r="B600" s="9"/>
      <c r="C600" s="10"/>
      <c r="L600" s="4"/>
      <c r="M600" s="4"/>
      <c r="O600" s="4"/>
    </row>
    <row r="601">
      <c r="B601" s="9"/>
      <c r="C601" s="10"/>
      <c r="L601" s="4"/>
      <c r="M601" s="4"/>
      <c r="O601" s="4"/>
    </row>
    <row r="602">
      <c r="B602" s="9"/>
      <c r="C602" s="10"/>
      <c r="L602" s="4"/>
      <c r="M602" s="4"/>
      <c r="O602" s="4"/>
    </row>
    <row r="603">
      <c r="B603" s="9"/>
      <c r="C603" s="10"/>
      <c r="L603" s="4"/>
      <c r="M603" s="4"/>
      <c r="O603" s="4"/>
    </row>
    <row r="604">
      <c r="B604" s="9"/>
      <c r="C604" s="10"/>
      <c r="L604" s="4"/>
      <c r="M604" s="4"/>
      <c r="O604" s="4"/>
    </row>
    <row r="605">
      <c r="B605" s="9"/>
      <c r="C605" s="10"/>
      <c r="L605" s="4"/>
      <c r="M605" s="4"/>
      <c r="O605" s="4"/>
    </row>
    <row r="606">
      <c r="B606" s="9"/>
      <c r="C606" s="10"/>
      <c r="L606" s="4"/>
      <c r="M606" s="4"/>
      <c r="O606" s="4"/>
    </row>
    <row r="607">
      <c r="B607" s="9"/>
      <c r="C607" s="10"/>
      <c r="L607" s="4"/>
      <c r="M607" s="4"/>
      <c r="O607" s="4"/>
    </row>
    <row r="608">
      <c r="B608" s="9"/>
      <c r="C608" s="10"/>
      <c r="L608" s="4"/>
      <c r="M608" s="4"/>
      <c r="O608" s="4"/>
    </row>
    <row r="609">
      <c r="B609" s="9"/>
      <c r="C609" s="10"/>
      <c r="L609" s="4"/>
      <c r="M609" s="4"/>
      <c r="O609" s="4"/>
    </row>
    <row r="610">
      <c r="B610" s="9"/>
      <c r="C610" s="10"/>
      <c r="L610" s="4"/>
      <c r="M610" s="4"/>
      <c r="O610" s="4"/>
    </row>
    <row r="611">
      <c r="B611" s="9"/>
      <c r="C611" s="10"/>
      <c r="L611" s="4"/>
      <c r="M611" s="4"/>
      <c r="O611" s="4"/>
    </row>
    <row r="612">
      <c r="B612" s="9"/>
      <c r="C612" s="10"/>
      <c r="L612" s="4"/>
      <c r="M612" s="4"/>
      <c r="O612" s="4"/>
    </row>
    <row r="613">
      <c r="B613" s="9"/>
      <c r="C613" s="10"/>
      <c r="L613" s="4"/>
      <c r="M613" s="4"/>
      <c r="O613" s="4"/>
    </row>
    <row r="614">
      <c r="B614" s="9"/>
      <c r="C614" s="10"/>
      <c r="L614" s="4"/>
      <c r="M614" s="4"/>
      <c r="O614" s="4"/>
    </row>
    <row r="615">
      <c r="B615" s="9"/>
      <c r="C615" s="10"/>
      <c r="L615" s="4"/>
      <c r="M615" s="4"/>
      <c r="O615" s="4"/>
    </row>
    <row r="616">
      <c r="B616" s="9"/>
      <c r="C616" s="10"/>
      <c r="L616" s="4"/>
      <c r="M616" s="4"/>
      <c r="O616" s="4"/>
    </row>
    <row r="617">
      <c r="B617" s="9"/>
      <c r="C617" s="10"/>
      <c r="L617" s="4"/>
      <c r="M617" s="4"/>
      <c r="O617" s="4"/>
    </row>
    <row r="618">
      <c r="B618" s="9"/>
      <c r="C618" s="10"/>
      <c r="L618" s="4"/>
      <c r="M618" s="4"/>
      <c r="O618" s="4"/>
    </row>
    <row r="619">
      <c r="B619" s="9"/>
      <c r="C619" s="10"/>
      <c r="L619" s="4"/>
      <c r="M619" s="4"/>
      <c r="O619" s="4"/>
    </row>
    <row r="620">
      <c r="B620" s="9"/>
      <c r="C620" s="10"/>
      <c r="L620" s="4"/>
      <c r="M620" s="4"/>
      <c r="O620" s="4"/>
    </row>
    <row r="621">
      <c r="B621" s="9"/>
      <c r="C621" s="10"/>
      <c r="L621" s="4"/>
      <c r="M621" s="4"/>
      <c r="O621" s="4"/>
    </row>
    <row r="622">
      <c r="B622" s="9"/>
      <c r="C622" s="10"/>
      <c r="L622" s="4"/>
      <c r="M622" s="4"/>
      <c r="O622" s="4"/>
    </row>
    <row r="623">
      <c r="B623" s="9"/>
      <c r="C623" s="10"/>
      <c r="L623" s="4"/>
      <c r="M623" s="4"/>
      <c r="O623" s="4"/>
    </row>
    <row r="624">
      <c r="B624" s="9"/>
      <c r="C624" s="10"/>
      <c r="L624" s="4"/>
      <c r="M624" s="4"/>
      <c r="O624" s="4"/>
    </row>
    <row r="625">
      <c r="B625" s="9"/>
      <c r="C625" s="10"/>
      <c r="L625" s="4"/>
      <c r="M625" s="4"/>
      <c r="O625" s="4"/>
    </row>
    <row r="626">
      <c r="B626" s="9"/>
      <c r="C626" s="10"/>
      <c r="L626" s="4"/>
      <c r="M626" s="4"/>
      <c r="O626" s="4"/>
    </row>
    <row r="627">
      <c r="B627" s="9"/>
      <c r="C627" s="10"/>
      <c r="L627" s="4"/>
      <c r="M627" s="4"/>
      <c r="O627" s="4"/>
    </row>
    <row r="628">
      <c r="B628" s="9"/>
      <c r="C628" s="10"/>
      <c r="L628" s="4"/>
      <c r="M628" s="4"/>
      <c r="O628" s="4"/>
    </row>
    <row r="629">
      <c r="B629" s="9"/>
      <c r="C629" s="10"/>
      <c r="L629" s="4"/>
      <c r="M629" s="4"/>
      <c r="O629" s="4"/>
    </row>
    <row r="630">
      <c r="B630" s="9"/>
      <c r="C630" s="10"/>
      <c r="L630" s="4"/>
      <c r="M630" s="4"/>
      <c r="O630" s="4"/>
    </row>
    <row r="631">
      <c r="B631" s="9"/>
      <c r="C631" s="10"/>
      <c r="L631" s="4"/>
      <c r="M631" s="4"/>
      <c r="O631" s="4"/>
    </row>
    <row r="632">
      <c r="B632" s="9"/>
      <c r="C632" s="10"/>
      <c r="L632" s="4"/>
      <c r="M632" s="4"/>
      <c r="O632" s="4"/>
    </row>
    <row r="633">
      <c r="B633" s="9"/>
      <c r="C633" s="10"/>
      <c r="L633" s="4"/>
      <c r="M633" s="4"/>
      <c r="O633" s="4"/>
    </row>
    <row r="634">
      <c r="B634" s="9"/>
      <c r="C634" s="10"/>
      <c r="L634" s="4"/>
      <c r="M634" s="4"/>
      <c r="O634" s="4"/>
    </row>
    <row r="635">
      <c r="B635" s="9"/>
      <c r="C635" s="10"/>
      <c r="L635" s="4"/>
      <c r="M635" s="4"/>
      <c r="O635" s="4"/>
    </row>
    <row r="636">
      <c r="B636" s="9"/>
      <c r="C636" s="10"/>
      <c r="L636" s="4"/>
      <c r="M636" s="4"/>
      <c r="O636" s="4"/>
    </row>
    <row r="637">
      <c r="B637" s="9"/>
      <c r="C637" s="10"/>
      <c r="L637" s="4"/>
      <c r="M637" s="4"/>
      <c r="O637" s="4"/>
    </row>
    <row r="638">
      <c r="B638" s="9"/>
      <c r="C638" s="10"/>
      <c r="L638" s="4"/>
      <c r="M638" s="4"/>
      <c r="O638" s="4"/>
    </row>
    <row r="639">
      <c r="B639" s="9"/>
      <c r="C639" s="10"/>
      <c r="L639" s="4"/>
      <c r="M639" s="4"/>
      <c r="O639" s="4"/>
    </row>
    <row r="640">
      <c r="B640" s="9"/>
      <c r="C640" s="10"/>
      <c r="L640" s="4"/>
      <c r="M640" s="4"/>
      <c r="O640" s="4"/>
    </row>
    <row r="641">
      <c r="B641" s="9"/>
      <c r="C641" s="10"/>
      <c r="L641" s="4"/>
      <c r="M641" s="4"/>
      <c r="O641" s="4"/>
    </row>
    <row r="642">
      <c r="B642" s="9"/>
      <c r="C642" s="10"/>
      <c r="L642" s="4"/>
      <c r="M642" s="4"/>
      <c r="O642" s="4"/>
    </row>
    <row r="643">
      <c r="B643" s="9"/>
      <c r="C643" s="10"/>
      <c r="L643" s="4"/>
      <c r="M643" s="4"/>
      <c r="O643" s="4"/>
    </row>
    <row r="644">
      <c r="B644" s="9"/>
      <c r="C644" s="10"/>
      <c r="L644" s="4"/>
      <c r="M644" s="4"/>
      <c r="O644" s="4"/>
    </row>
    <row r="645">
      <c r="B645" s="9"/>
      <c r="C645" s="10"/>
      <c r="L645" s="4"/>
      <c r="M645" s="4"/>
      <c r="O645" s="4"/>
    </row>
    <row r="646">
      <c r="B646" s="9"/>
      <c r="C646" s="10"/>
      <c r="L646" s="4"/>
      <c r="M646" s="4"/>
      <c r="O646" s="4"/>
    </row>
    <row r="647">
      <c r="B647" s="9"/>
      <c r="C647" s="10"/>
      <c r="L647" s="4"/>
      <c r="M647" s="4"/>
      <c r="O647" s="4"/>
    </row>
    <row r="648">
      <c r="B648" s="9"/>
      <c r="C648" s="10"/>
      <c r="L648" s="4"/>
      <c r="M648" s="4"/>
      <c r="O648" s="4"/>
    </row>
    <row r="649">
      <c r="B649" s="9"/>
      <c r="C649" s="10"/>
      <c r="L649" s="4"/>
      <c r="M649" s="4"/>
      <c r="O649" s="4"/>
    </row>
    <row r="650">
      <c r="B650" s="9"/>
      <c r="C650" s="10"/>
      <c r="L650" s="4"/>
      <c r="M650" s="4"/>
      <c r="O650" s="4"/>
    </row>
    <row r="651">
      <c r="B651" s="9"/>
      <c r="C651" s="10"/>
      <c r="L651" s="4"/>
      <c r="M651" s="4"/>
      <c r="O651" s="4"/>
    </row>
    <row r="652">
      <c r="B652" s="9"/>
      <c r="C652" s="10"/>
      <c r="L652" s="4"/>
      <c r="M652" s="4"/>
      <c r="O652" s="4"/>
    </row>
    <row r="653">
      <c r="B653" s="9"/>
      <c r="C653" s="10"/>
      <c r="L653" s="4"/>
      <c r="M653" s="4"/>
      <c r="O653" s="4"/>
    </row>
    <row r="654">
      <c r="B654" s="9"/>
      <c r="C654" s="10"/>
      <c r="L654" s="4"/>
      <c r="M654" s="4"/>
      <c r="O654" s="4"/>
    </row>
    <row r="655">
      <c r="B655" s="9"/>
      <c r="C655" s="10"/>
      <c r="L655" s="4"/>
      <c r="M655" s="4"/>
      <c r="O655" s="4"/>
    </row>
    <row r="656">
      <c r="B656" s="9"/>
      <c r="C656" s="10"/>
      <c r="L656" s="4"/>
      <c r="M656" s="4"/>
      <c r="O656" s="4"/>
    </row>
    <row r="657">
      <c r="B657" s="9"/>
      <c r="C657" s="10"/>
      <c r="L657" s="4"/>
      <c r="M657" s="4"/>
      <c r="O657" s="4"/>
    </row>
    <row r="658">
      <c r="B658" s="9"/>
      <c r="C658" s="10"/>
      <c r="L658" s="4"/>
      <c r="M658" s="4"/>
      <c r="O658" s="4"/>
    </row>
    <row r="659">
      <c r="B659" s="9"/>
      <c r="C659" s="10"/>
      <c r="L659" s="4"/>
      <c r="M659" s="4"/>
      <c r="O659" s="4"/>
    </row>
    <row r="660">
      <c r="B660" s="9"/>
      <c r="C660" s="10"/>
      <c r="L660" s="4"/>
      <c r="M660" s="4"/>
      <c r="O660" s="4"/>
    </row>
    <row r="661">
      <c r="B661" s="9"/>
      <c r="C661" s="10"/>
      <c r="L661" s="4"/>
      <c r="M661" s="4"/>
      <c r="O661" s="4"/>
    </row>
    <row r="662">
      <c r="B662" s="9"/>
      <c r="C662" s="10"/>
      <c r="L662" s="4"/>
      <c r="M662" s="4"/>
      <c r="O662" s="4"/>
    </row>
    <row r="663">
      <c r="B663" s="9"/>
      <c r="C663" s="10"/>
      <c r="L663" s="4"/>
      <c r="M663" s="4"/>
      <c r="O663" s="4"/>
    </row>
    <row r="664">
      <c r="B664" s="9"/>
      <c r="C664" s="10"/>
      <c r="L664" s="4"/>
      <c r="M664" s="4"/>
      <c r="O664" s="4"/>
    </row>
    <row r="665">
      <c r="B665" s="9"/>
      <c r="C665" s="10"/>
      <c r="L665" s="4"/>
      <c r="M665" s="4"/>
      <c r="O665" s="4"/>
    </row>
    <row r="666">
      <c r="B666" s="9"/>
      <c r="C666" s="10"/>
      <c r="L666" s="4"/>
      <c r="M666" s="4"/>
      <c r="O666" s="4"/>
    </row>
    <row r="667">
      <c r="B667" s="9"/>
      <c r="C667" s="10"/>
      <c r="L667" s="4"/>
      <c r="M667" s="4"/>
      <c r="O667" s="4"/>
    </row>
    <row r="668">
      <c r="B668" s="9"/>
      <c r="C668" s="10"/>
      <c r="L668" s="4"/>
      <c r="M668" s="4"/>
      <c r="O668" s="4"/>
    </row>
    <row r="669">
      <c r="B669" s="9"/>
      <c r="C669" s="10"/>
      <c r="L669" s="4"/>
      <c r="M669" s="4"/>
      <c r="O669" s="4"/>
    </row>
    <row r="670">
      <c r="B670" s="9"/>
      <c r="C670" s="10"/>
      <c r="L670" s="4"/>
      <c r="M670" s="4"/>
      <c r="O670" s="4"/>
    </row>
    <row r="671">
      <c r="B671" s="9"/>
      <c r="C671" s="10"/>
      <c r="L671" s="4"/>
      <c r="M671" s="4"/>
      <c r="O671" s="4"/>
    </row>
    <row r="672">
      <c r="B672" s="9"/>
      <c r="C672" s="10"/>
      <c r="L672" s="4"/>
      <c r="M672" s="4"/>
      <c r="O672" s="4"/>
    </row>
    <row r="673">
      <c r="B673" s="9"/>
      <c r="C673" s="10"/>
      <c r="L673" s="4"/>
      <c r="M673" s="4"/>
      <c r="O673" s="4"/>
    </row>
    <row r="674">
      <c r="B674" s="9"/>
      <c r="C674" s="10"/>
      <c r="L674" s="4"/>
      <c r="M674" s="4"/>
      <c r="O674" s="4"/>
    </row>
    <row r="675">
      <c r="B675" s="9"/>
      <c r="C675" s="10"/>
      <c r="L675" s="4"/>
      <c r="M675" s="4"/>
      <c r="O675" s="4"/>
    </row>
    <row r="676">
      <c r="B676" s="9"/>
      <c r="C676" s="10"/>
      <c r="L676" s="4"/>
      <c r="M676" s="4"/>
      <c r="O676" s="4"/>
    </row>
    <row r="677">
      <c r="B677" s="9"/>
      <c r="C677" s="10"/>
      <c r="L677" s="4"/>
      <c r="M677" s="4"/>
      <c r="O677" s="4"/>
    </row>
    <row r="678">
      <c r="B678" s="9"/>
      <c r="C678" s="10"/>
      <c r="L678" s="4"/>
      <c r="M678" s="4"/>
      <c r="O678" s="4"/>
    </row>
    <row r="679">
      <c r="B679" s="9"/>
      <c r="C679" s="10"/>
      <c r="L679" s="4"/>
      <c r="M679" s="4"/>
      <c r="O679" s="4"/>
    </row>
    <row r="680">
      <c r="B680" s="9"/>
      <c r="C680" s="10"/>
      <c r="L680" s="4"/>
      <c r="M680" s="4"/>
      <c r="O680" s="4"/>
    </row>
    <row r="681">
      <c r="B681" s="9"/>
      <c r="C681" s="10"/>
      <c r="L681" s="4"/>
      <c r="M681" s="4"/>
      <c r="O681" s="4"/>
    </row>
    <row r="682">
      <c r="B682" s="9"/>
      <c r="C682" s="10"/>
      <c r="L682" s="4"/>
      <c r="M682" s="4"/>
      <c r="O682" s="4"/>
    </row>
    <row r="683">
      <c r="B683" s="9"/>
      <c r="C683" s="10"/>
      <c r="L683" s="4"/>
      <c r="M683" s="4"/>
      <c r="O683" s="4"/>
    </row>
    <row r="684">
      <c r="B684" s="9"/>
      <c r="C684" s="10"/>
      <c r="L684" s="4"/>
      <c r="M684" s="4"/>
      <c r="O684" s="4"/>
    </row>
    <row r="685">
      <c r="B685" s="9"/>
      <c r="C685" s="10"/>
      <c r="L685" s="4"/>
      <c r="M685" s="4"/>
      <c r="O685" s="4"/>
    </row>
    <row r="686">
      <c r="B686" s="9"/>
      <c r="C686" s="10"/>
      <c r="L686" s="4"/>
      <c r="M686" s="4"/>
      <c r="O686" s="4"/>
    </row>
    <row r="687">
      <c r="B687" s="9"/>
      <c r="C687" s="10"/>
      <c r="L687" s="4"/>
      <c r="M687" s="4"/>
      <c r="O687" s="4"/>
    </row>
    <row r="688">
      <c r="B688" s="9"/>
      <c r="C688" s="10"/>
      <c r="L688" s="4"/>
      <c r="M688" s="4"/>
      <c r="O688" s="4"/>
    </row>
    <row r="689">
      <c r="B689" s="9"/>
      <c r="C689" s="10"/>
      <c r="L689" s="4"/>
      <c r="M689" s="4"/>
      <c r="O689" s="4"/>
    </row>
    <row r="690">
      <c r="B690" s="9"/>
      <c r="C690" s="10"/>
      <c r="L690" s="4"/>
      <c r="M690" s="4"/>
      <c r="O690" s="4"/>
    </row>
    <row r="691">
      <c r="B691" s="9"/>
      <c r="C691" s="10"/>
      <c r="L691" s="4"/>
      <c r="M691" s="4"/>
      <c r="O691" s="4"/>
    </row>
    <row r="692">
      <c r="B692" s="9"/>
      <c r="C692" s="10"/>
      <c r="L692" s="4"/>
      <c r="M692" s="4"/>
      <c r="O692" s="4"/>
    </row>
    <row r="693">
      <c r="B693" s="9"/>
      <c r="C693" s="10"/>
      <c r="L693" s="4"/>
      <c r="M693" s="4"/>
      <c r="O693" s="4"/>
    </row>
    <row r="694">
      <c r="B694" s="9"/>
      <c r="C694" s="10"/>
      <c r="L694" s="4"/>
      <c r="M694" s="4"/>
      <c r="O694" s="4"/>
    </row>
    <row r="695">
      <c r="B695" s="9"/>
      <c r="C695" s="10"/>
      <c r="L695" s="4"/>
      <c r="M695" s="4"/>
      <c r="O695" s="4"/>
    </row>
    <row r="696">
      <c r="B696" s="9"/>
      <c r="C696" s="10"/>
      <c r="L696" s="4"/>
      <c r="M696" s="4"/>
      <c r="O696" s="4"/>
    </row>
    <row r="697">
      <c r="B697" s="9"/>
      <c r="C697" s="10"/>
      <c r="L697" s="4"/>
      <c r="M697" s="4"/>
      <c r="O697" s="4"/>
    </row>
    <row r="698">
      <c r="B698" s="9"/>
      <c r="C698" s="10"/>
      <c r="L698" s="4"/>
      <c r="M698" s="4"/>
      <c r="O698" s="4"/>
    </row>
    <row r="699">
      <c r="B699" s="9"/>
      <c r="C699" s="10"/>
      <c r="L699" s="4"/>
      <c r="M699" s="4"/>
      <c r="O699" s="4"/>
    </row>
    <row r="700">
      <c r="B700" s="9"/>
      <c r="C700" s="10"/>
      <c r="L700" s="4"/>
      <c r="M700" s="4"/>
      <c r="O700" s="4"/>
    </row>
    <row r="701">
      <c r="B701" s="9"/>
      <c r="C701" s="10"/>
      <c r="L701" s="4"/>
      <c r="M701" s="4"/>
      <c r="O701" s="4"/>
    </row>
    <row r="702">
      <c r="B702" s="9"/>
      <c r="C702" s="10"/>
      <c r="L702" s="4"/>
      <c r="M702" s="4"/>
      <c r="O702" s="4"/>
    </row>
    <row r="703">
      <c r="B703" s="9"/>
      <c r="C703" s="10"/>
      <c r="L703" s="4"/>
      <c r="M703" s="4"/>
      <c r="O703" s="4"/>
    </row>
    <row r="704">
      <c r="B704" s="9"/>
      <c r="C704" s="10"/>
      <c r="L704" s="4"/>
      <c r="M704" s="4"/>
      <c r="O704" s="4"/>
    </row>
    <row r="705">
      <c r="B705" s="9"/>
      <c r="C705" s="10"/>
      <c r="L705" s="4"/>
      <c r="M705" s="4"/>
      <c r="O705" s="4"/>
    </row>
    <row r="706">
      <c r="B706" s="9"/>
      <c r="C706" s="10"/>
      <c r="L706" s="4"/>
      <c r="M706" s="4"/>
      <c r="O706" s="4"/>
    </row>
    <row r="707">
      <c r="B707" s="9"/>
      <c r="C707" s="10"/>
      <c r="L707" s="4"/>
      <c r="M707" s="4"/>
      <c r="O707" s="4"/>
    </row>
    <row r="708">
      <c r="B708" s="9"/>
      <c r="C708" s="10"/>
      <c r="L708" s="4"/>
      <c r="M708" s="4"/>
      <c r="O708" s="4"/>
    </row>
    <row r="709">
      <c r="B709" s="9"/>
      <c r="C709" s="10"/>
      <c r="L709" s="4"/>
      <c r="M709" s="4"/>
      <c r="O709" s="4"/>
    </row>
    <row r="710">
      <c r="B710" s="9"/>
      <c r="C710" s="10"/>
      <c r="L710" s="4"/>
      <c r="M710" s="4"/>
      <c r="O710" s="4"/>
    </row>
    <row r="711">
      <c r="B711" s="9"/>
      <c r="C711" s="10"/>
      <c r="L711" s="4"/>
      <c r="M711" s="4"/>
      <c r="O711" s="4"/>
    </row>
    <row r="712">
      <c r="B712" s="9"/>
      <c r="C712" s="10"/>
      <c r="L712" s="4"/>
      <c r="M712" s="4"/>
      <c r="O712" s="4"/>
    </row>
    <row r="713">
      <c r="B713" s="9"/>
      <c r="C713" s="10"/>
      <c r="L713" s="4"/>
      <c r="M713" s="4"/>
      <c r="O713" s="4"/>
    </row>
    <row r="714">
      <c r="B714" s="9"/>
      <c r="C714" s="10"/>
      <c r="L714" s="4"/>
      <c r="M714" s="4"/>
      <c r="O714" s="4"/>
    </row>
    <row r="715">
      <c r="B715" s="9"/>
      <c r="C715" s="10"/>
      <c r="L715" s="4"/>
      <c r="M715" s="4"/>
      <c r="O715" s="4"/>
    </row>
    <row r="716">
      <c r="B716" s="9"/>
      <c r="C716" s="10"/>
      <c r="L716" s="4"/>
      <c r="M716" s="4"/>
      <c r="O716" s="4"/>
    </row>
    <row r="717">
      <c r="B717" s="9"/>
      <c r="C717" s="10"/>
      <c r="L717" s="4"/>
      <c r="M717" s="4"/>
      <c r="O717" s="4"/>
    </row>
    <row r="718">
      <c r="B718" s="9"/>
      <c r="C718" s="10"/>
      <c r="L718" s="4"/>
      <c r="M718" s="4"/>
      <c r="O718" s="4"/>
    </row>
    <row r="719">
      <c r="B719" s="9"/>
      <c r="C719" s="10"/>
      <c r="L719" s="4"/>
      <c r="M719" s="4"/>
      <c r="O719" s="4"/>
    </row>
    <row r="720">
      <c r="B720" s="9"/>
      <c r="C720" s="10"/>
      <c r="L720" s="4"/>
      <c r="M720" s="4"/>
      <c r="O720" s="4"/>
    </row>
    <row r="721">
      <c r="B721" s="9"/>
      <c r="C721" s="10"/>
      <c r="L721" s="4"/>
      <c r="M721" s="4"/>
      <c r="O721" s="4"/>
    </row>
    <row r="722">
      <c r="B722" s="9"/>
      <c r="C722" s="10"/>
      <c r="L722" s="4"/>
      <c r="M722" s="4"/>
      <c r="O722" s="4"/>
    </row>
    <row r="723">
      <c r="B723" s="9"/>
      <c r="C723" s="10"/>
      <c r="L723" s="4"/>
      <c r="M723" s="4"/>
      <c r="O723" s="4"/>
    </row>
    <row r="724">
      <c r="B724" s="9"/>
      <c r="C724" s="10"/>
      <c r="L724" s="4"/>
      <c r="M724" s="4"/>
      <c r="O724" s="4"/>
    </row>
    <row r="725">
      <c r="B725" s="9"/>
      <c r="C725" s="10"/>
      <c r="L725" s="4"/>
      <c r="M725" s="4"/>
      <c r="O725" s="4"/>
    </row>
    <row r="726">
      <c r="B726" s="9"/>
      <c r="C726" s="10"/>
      <c r="L726" s="4"/>
      <c r="M726" s="4"/>
      <c r="O726" s="4"/>
    </row>
    <row r="727">
      <c r="B727" s="9"/>
      <c r="C727" s="10"/>
      <c r="L727" s="4"/>
      <c r="M727" s="4"/>
      <c r="O727" s="4"/>
    </row>
    <row r="728">
      <c r="B728" s="9"/>
      <c r="C728" s="10"/>
      <c r="L728" s="4"/>
      <c r="M728" s="4"/>
      <c r="O728" s="4"/>
    </row>
    <row r="729">
      <c r="B729" s="9"/>
      <c r="C729" s="10"/>
      <c r="L729" s="4"/>
      <c r="M729" s="4"/>
      <c r="O729" s="4"/>
    </row>
    <row r="730">
      <c r="B730" s="9"/>
      <c r="C730" s="10"/>
      <c r="L730" s="4"/>
      <c r="M730" s="4"/>
      <c r="O730" s="4"/>
    </row>
    <row r="731">
      <c r="B731" s="9"/>
      <c r="C731" s="10"/>
      <c r="L731" s="4"/>
      <c r="M731" s="4"/>
      <c r="O731" s="4"/>
    </row>
    <row r="732">
      <c r="B732" s="9"/>
      <c r="C732" s="10"/>
      <c r="L732" s="4"/>
      <c r="M732" s="4"/>
      <c r="O732" s="4"/>
    </row>
    <row r="733">
      <c r="B733" s="9"/>
      <c r="C733" s="10"/>
      <c r="L733" s="4"/>
      <c r="M733" s="4"/>
      <c r="O733" s="4"/>
    </row>
    <row r="734">
      <c r="B734" s="9"/>
      <c r="C734" s="10"/>
      <c r="L734" s="4"/>
      <c r="M734" s="4"/>
      <c r="O734" s="4"/>
    </row>
    <row r="735">
      <c r="B735" s="9"/>
      <c r="C735" s="10"/>
      <c r="L735" s="4"/>
      <c r="M735" s="4"/>
      <c r="O735" s="4"/>
    </row>
    <row r="736">
      <c r="B736" s="9"/>
      <c r="C736" s="10"/>
      <c r="L736" s="4"/>
      <c r="M736" s="4"/>
      <c r="O736" s="4"/>
    </row>
    <row r="737">
      <c r="B737" s="9"/>
      <c r="C737" s="10"/>
      <c r="L737" s="4"/>
      <c r="M737" s="4"/>
      <c r="O737" s="4"/>
    </row>
    <row r="738">
      <c r="B738" s="9"/>
      <c r="C738" s="10"/>
      <c r="L738" s="4"/>
      <c r="M738" s="4"/>
      <c r="O738" s="4"/>
    </row>
    <row r="739">
      <c r="B739" s="9"/>
      <c r="C739" s="10"/>
      <c r="L739" s="4"/>
      <c r="M739" s="4"/>
      <c r="O739" s="4"/>
    </row>
    <row r="740">
      <c r="B740" s="9"/>
      <c r="C740" s="10"/>
      <c r="L740" s="4"/>
      <c r="M740" s="4"/>
      <c r="O740" s="4"/>
    </row>
    <row r="741">
      <c r="B741" s="9"/>
      <c r="C741" s="10"/>
      <c r="L741" s="4"/>
      <c r="M741" s="4"/>
      <c r="O741" s="4"/>
    </row>
    <row r="742">
      <c r="B742" s="9"/>
      <c r="C742" s="10"/>
      <c r="L742" s="4"/>
      <c r="M742" s="4"/>
      <c r="O742" s="4"/>
    </row>
    <row r="743">
      <c r="B743" s="9"/>
      <c r="C743" s="10"/>
      <c r="L743" s="4"/>
      <c r="M743" s="4"/>
      <c r="O743" s="4"/>
    </row>
    <row r="744">
      <c r="B744" s="9"/>
      <c r="C744" s="10"/>
      <c r="L744" s="4"/>
      <c r="M744" s="4"/>
      <c r="O744" s="4"/>
    </row>
    <row r="745">
      <c r="B745" s="9"/>
      <c r="C745" s="10"/>
      <c r="L745" s="4"/>
      <c r="M745" s="4"/>
      <c r="O745" s="4"/>
    </row>
    <row r="746">
      <c r="B746" s="9"/>
      <c r="C746" s="10"/>
      <c r="L746" s="4"/>
      <c r="M746" s="4"/>
      <c r="O746" s="4"/>
    </row>
    <row r="747">
      <c r="B747" s="9"/>
      <c r="C747" s="10"/>
      <c r="L747" s="4"/>
      <c r="M747" s="4"/>
      <c r="O747" s="4"/>
    </row>
    <row r="748">
      <c r="B748" s="9"/>
      <c r="C748" s="10"/>
      <c r="L748" s="4"/>
      <c r="M748" s="4"/>
      <c r="O748" s="4"/>
    </row>
    <row r="749">
      <c r="B749" s="9"/>
      <c r="C749" s="10"/>
      <c r="L749" s="4"/>
      <c r="M749" s="4"/>
      <c r="O749" s="4"/>
    </row>
    <row r="750">
      <c r="B750" s="9"/>
      <c r="C750" s="10"/>
      <c r="L750" s="4"/>
      <c r="M750" s="4"/>
      <c r="O750" s="4"/>
    </row>
    <row r="751">
      <c r="B751" s="9"/>
      <c r="C751" s="10"/>
      <c r="L751" s="4"/>
      <c r="M751" s="4"/>
      <c r="O751" s="4"/>
    </row>
    <row r="752">
      <c r="B752" s="9"/>
      <c r="C752" s="10"/>
      <c r="L752" s="4"/>
      <c r="M752" s="4"/>
      <c r="O752" s="4"/>
    </row>
    <row r="753">
      <c r="B753" s="9"/>
      <c r="C753" s="10"/>
      <c r="L753" s="4"/>
      <c r="M753" s="4"/>
      <c r="O753" s="4"/>
    </row>
    <row r="754">
      <c r="B754" s="9"/>
      <c r="C754" s="10"/>
      <c r="L754" s="4"/>
      <c r="M754" s="4"/>
      <c r="O754" s="4"/>
    </row>
    <row r="755">
      <c r="B755" s="9"/>
      <c r="C755" s="10"/>
      <c r="L755" s="4"/>
      <c r="M755" s="4"/>
      <c r="O755" s="4"/>
    </row>
    <row r="756">
      <c r="B756" s="9"/>
      <c r="C756" s="10"/>
      <c r="L756" s="4"/>
      <c r="M756" s="4"/>
      <c r="O756" s="4"/>
    </row>
    <row r="757">
      <c r="B757" s="9"/>
      <c r="C757" s="10"/>
      <c r="L757" s="4"/>
      <c r="M757" s="4"/>
      <c r="O757" s="4"/>
    </row>
    <row r="758">
      <c r="B758" s="9"/>
      <c r="C758" s="10"/>
      <c r="L758" s="4"/>
      <c r="M758" s="4"/>
      <c r="O758" s="4"/>
    </row>
    <row r="759">
      <c r="B759" s="9"/>
      <c r="C759" s="10"/>
      <c r="L759" s="4"/>
      <c r="M759" s="4"/>
      <c r="O759" s="4"/>
    </row>
    <row r="760">
      <c r="B760" s="9"/>
      <c r="C760" s="10"/>
      <c r="L760" s="4"/>
      <c r="M760" s="4"/>
      <c r="O760" s="4"/>
    </row>
    <row r="761">
      <c r="B761" s="9"/>
      <c r="C761" s="10"/>
      <c r="L761" s="4"/>
      <c r="M761" s="4"/>
      <c r="O761" s="4"/>
    </row>
    <row r="762">
      <c r="B762" s="9"/>
      <c r="C762" s="10"/>
      <c r="L762" s="4"/>
      <c r="M762" s="4"/>
      <c r="O762" s="4"/>
    </row>
    <row r="763">
      <c r="B763" s="9"/>
      <c r="C763" s="10"/>
      <c r="L763" s="4"/>
      <c r="M763" s="4"/>
      <c r="O763" s="4"/>
    </row>
    <row r="764">
      <c r="B764" s="9"/>
      <c r="C764" s="10"/>
      <c r="L764" s="4"/>
      <c r="M764" s="4"/>
      <c r="O764" s="4"/>
    </row>
    <row r="765">
      <c r="B765" s="9"/>
      <c r="C765" s="10"/>
      <c r="L765" s="4"/>
      <c r="M765" s="4"/>
      <c r="O765" s="4"/>
    </row>
    <row r="766">
      <c r="B766" s="9"/>
      <c r="C766" s="10"/>
      <c r="L766" s="4"/>
      <c r="M766" s="4"/>
      <c r="O766" s="4"/>
    </row>
    <row r="767">
      <c r="B767" s="9"/>
      <c r="C767" s="10"/>
      <c r="L767" s="4"/>
      <c r="M767" s="4"/>
      <c r="O767" s="4"/>
    </row>
    <row r="768">
      <c r="B768" s="9"/>
      <c r="C768" s="10"/>
      <c r="L768" s="4"/>
      <c r="M768" s="4"/>
      <c r="O768" s="4"/>
    </row>
    <row r="769">
      <c r="B769" s="9"/>
      <c r="C769" s="10"/>
      <c r="L769" s="4"/>
      <c r="M769" s="4"/>
      <c r="O769" s="4"/>
    </row>
    <row r="770">
      <c r="B770" s="9"/>
      <c r="C770" s="10"/>
      <c r="L770" s="4"/>
      <c r="M770" s="4"/>
      <c r="O770" s="4"/>
    </row>
    <row r="771">
      <c r="B771" s="9"/>
      <c r="C771" s="10"/>
      <c r="L771" s="4"/>
      <c r="M771" s="4"/>
      <c r="O771" s="4"/>
    </row>
    <row r="772">
      <c r="B772" s="9"/>
      <c r="C772" s="10"/>
      <c r="L772" s="4"/>
      <c r="M772" s="4"/>
      <c r="O772" s="4"/>
    </row>
    <row r="773">
      <c r="B773" s="9"/>
      <c r="C773" s="10"/>
      <c r="L773" s="4"/>
      <c r="M773" s="4"/>
      <c r="O773" s="4"/>
    </row>
    <row r="774">
      <c r="B774" s="9"/>
      <c r="C774" s="10"/>
      <c r="L774" s="4"/>
      <c r="M774" s="4"/>
      <c r="O774" s="4"/>
    </row>
    <row r="775">
      <c r="B775" s="9"/>
      <c r="C775" s="10"/>
      <c r="L775" s="4"/>
      <c r="M775" s="4"/>
      <c r="O775" s="4"/>
    </row>
    <row r="776">
      <c r="B776" s="9"/>
      <c r="C776" s="10"/>
      <c r="L776" s="4"/>
      <c r="M776" s="4"/>
      <c r="O776" s="4"/>
    </row>
    <row r="777">
      <c r="B777" s="9"/>
      <c r="C777" s="10"/>
      <c r="L777" s="4"/>
      <c r="M777" s="4"/>
      <c r="O777" s="4"/>
    </row>
    <row r="778">
      <c r="B778" s="9"/>
      <c r="C778" s="10"/>
      <c r="L778" s="4"/>
      <c r="M778" s="4"/>
      <c r="O778" s="4"/>
    </row>
    <row r="779">
      <c r="B779" s="9"/>
      <c r="C779" s="10"/>
      <c r="L779" s="4"/>
      <c r="M779" s="4"/>
      <c r="O779" s="4"/>
    </row>
    <row r="780">
      <c r="B780" s="9"/>
      <c r="C780" s="10"/>
      <c r="L780" s="4"/>
      <c r="M780" s="4"/>
      <c r="O780" s="4"/>
    </row>
    <row r="781">
      <c r="B781" s="9"/>
      <c r="C781" s="10"/>
      <c r="L781" s="4"/>
      <c r="M781" s="4"/>
      <c r="O781" s="4"/>
    </row>
    <row r="782">
      <c r="B782" s="9"/>
      <c r="C782" s="10"/>
      <c r="L782" s="4"/>
      <c r="M782" s="4"/>
      <c r="O782" s="4"/>
    </row>
    <row r="783">
      <c r="B783" s="9"/>
      <c r="C783" s="10"/>
      <c r="L783" s="4"/>
      <c r="M783" s="4"/>
      <c r="O783" s="4"/>
    </row>
    <row r="784">
      <c r="B784" s="9"/>
      <c r="C784" s="10"/>
      <c r="L784" s="4"/>
      <c r="M784" s="4"/>
      <c r="O784" s="4"/>
    </row>
    <row r="785">
      <c r="B785" s="9"/>
      <c r="C785" s="10"/>
      <c r="L785" s="4"/>
      <c r="M785" s="4"/>
      <c r="O785" s="4"/>
    </row>
    <row r="786">
      <c r="B786" s="9"/>
      <c r="C786" s="10"/>
      <c r="L786" s="4"/>
      <c r="M786" s="4"/>
      <c r="O786" s="4"/>
    </row>
    <row r="787">
      <c r="B787" s="9"/>
      <c r="C787" s="10"/>
      <c r="L787" s="4"/>
      <c r="M787" s="4"/>
      <c r="O787" s="4"/>
    </row>
    <row r="788">
      <c r="B788" s="9"/>
      <c r="C788" s="10"/>
      <c r="L788" s="4"/>
      <c r="M788" s="4"/>
      <c r="O788" s="4"/>
    </row>
    <row r="789">
      <c r="B789" s="9"/>
      <c r="C789" s="10"/>
      <c r="L789" s="4"/>
      <c r="M789" s="4"/>
      <c r="O789" s="4"/>
    </row>
    <row r="790">
      <c r="B790" s="9"/>
      <c r="C790" s="10"/>
      <c r="L790" s="4"/>
      <c r="M790" s="4"/>
      <c r="O790" s="4"/>
    </row>
    <row r="791">
      <c r="B791" s="9"/>
      <c r="C791" s="10"/>
      <c r="L791" s="4"/>
      <c r="M791" s="4"/>
      <c r="O791" s="4"/>
    </row>
    <row r="792">
      <c r="B792" s="9"/>
      <c r="C792" s="10"/>
      <c r="L792" s="4"/>
      <c r="M792" s="4"/>
      <c r="O792" s="4"/>
    </row>
    <row r="793">
      <c r="B793" s="9"/>
      <c r="C793" s="10"/>
      <c r="L793" s="4"/>
      <c r="M793" s="4"/>
      <c r="O793" s="4"/>
    </row>
    <row r="794">
      <c r="B794" s="9"/>
      <c r="C794" s="10"/>
      <c r="L794" s="4"/>
      <c r="M794" s="4"/>
      <c r="O794" s="4"/>
    </row>
    <row r="795">
      <c r="B795" s="9"/>
      <c r="C795" s="10"/>
      <c r="L795" s="4"/>
      <c r="M795" s="4"/>
      <c r="O795" s="4"/>
    </row>
    <row r="796">
      <c r="B796" s="9"/>
      <c r="C796" s="10"/>
      <c r="L796" s="4"/>
      <c r="M796" s="4"/>
      <c r="O796" s="4"/>
    </row>
    <row r="797">
      <c r="B797" s="9"/>
      <c r="C797" s="10"/>
      <c r="L797" s="4"/>
      <c r="M797" s="4"/>
      <c r="O797" s="4"/>
    </row>
    <row r="798">
      <c r="B798" s="9"/>
      <c r="C798" s="10"/>
      <c r="L798" s="4"/>
      <c r="M798" s="4"/>
      <c r="O798" s="4"/>
    </row>
    <row r="799">
      <c r="B799" s="9"/>
      <c r="C799" s="10"/>
      <c r="L799" s="4"/>
      <c r="M799" s="4"/>
      <c r="O799" s="4"/>
    </row>
    <row r="800">
      <c r="B800" s="9"/>
      <c r="C800" s="10"/>
      <c r="L800" s="4"/>
      <c r="M800" s="4"/>
      <c r="O800" s="4"/>
    </row>
    <row r="801">
      <c r="B801" s="9"/>
      <c r="C801" s="10"/>
      <c r="L801" s="4"/>
      <c r="M801" s="4"/>
      <c r="O801" s="4"/>
    </row>
    <row r="802">
      <c r="B802" s="9"/>
      <c r="C802" s="10"/>
      <c r="L802" s="4"/>
      <c r="M802" s="4"/>
      <c r="O802" s="4"/>
    </row>
    <row r="803">
      <c r="B803" s="9"/>
      <c r="C803" s="10"/>
      <c r="L803" s="4"/>
      <c r="M803" s="4"/>
      <c r="O803" s="4"/>
    </row>
    <row r="804">
      <c r="B804" s="9"/>
      <c r="C804" s="10"/>
      <c r="L804" s="4"/>
      <c r="M804" s="4"/>
      <c r="O804" s="4"/>
    </row>
    <row r="805">
      <c r="B805" s="9"/>
      <c r="C805" s="10"/>
      <c r="L805" s="4"/>
      <c r="M805" s="4"/>
      <c r="O805" s="4"/>
    </row>
    <row r="806">
      <c r="B806" s="9"/>
      <c r="C806" s="10"/>
      <c r="L806" s="4"/>
      <c r="M806" s="4"/>
      <c r="O806" s="4"/>
    </row>
    <row r="807">
      <c r="B807" s="9"/>
      <c r="C807" s="10"/>
      <c r="L807" s="4"/>
      <c r="M807" s="4"/>
      <c r="O807" s="4"/>
    </row>
    <row r="808">
      <c r="B808" s="9"/>
      <c r="C808" s="10"/>
      <c r="L808" s="4"/>
      <c r="M808" s="4"/>
      <c r="O808" s="4"/>
    </row>
    <row r="809">
      <c r="B809" s="9"/>
      <c r="C809" s="10"/>
      <c r="L809" s="4"/>
      <c r="M809" s="4"/>
      <c r="O809" s="4"/>
    </row>
    <row r="810">
      <c r="B810" s="9"/>
      <c r="C810" s="10"/>
      <c r="L810" s="4"/>
      <c r="M810" s="4"/>
      <c r="O810" s="4"/>
    </row>
    <row r="811">
      <c r="B811" s="9"/>
      <c r="C811" s="10"/>
      <c r="L811" s="4"/>
      <c r="M811" s="4"/>
      <c r="O811" s="4"/>
    </row>
    <row r="812">
      <c r="B812" s="9"/>
      <c r="C812" s="10"/>
      <c r="L812" s="4"/>
      <c r="M812" s="4"/>
      <c r="O812" s="4"/>
    </row>
    <row r="813">
      <c r="B813" s="9"/>
      <c r="C813" s="10"/>
      <c r="L813" s="4"/>
      <c r="M813" s="4"/>
      <c r="O813" s="4"/>
    </row>
    <row r="814">
      <c r="B814" s="9"/>
      <c r="C814" s="10"/>
      <c r="L814" s="4"/>
      <c r="M814" s="4"/>
      <c r="O814" s="4"/>
    </row>
    <row r="815">
      <c r="B815" s="9"/>
      <c r="C815" s="10"/>
      <c r="L815" s="4"/>
      <c r="M815" s="4"/>
      <c r="O815" s="4"/>
    </row>
    <row r="816">
      <c r="B816" s="9"/>
      <c r="C816" s="10"/>
      <c r="L816" s="4"/>
      <c r="M816" s="4"/>
      <c r="O816" s="4"/>
    </row>
    <row r="817">
      <c r="B817" s="9"/>
      <c r="C817" s="10"/>
      <c r="L817" s="4"/>
      <c r="M817" s="4"/>
      <c r="O817" s="4"/>
    </row>
    <row r="818">
      <c r="B818" s="9"/>
      <c r="C818" s="10"/>
      <c r="L818" s="4"/>
      <c r="M818" s="4"/>
      <c r="O818" s="4"/>
    </row>
    <row r="819">
      <c r="B819" s="9"/>
      <c r="C819" s="10"/>
      <c r="L819" s="4"/>
      <c r="M819" s="4"/>
      <c r="O819" s="4"/>
    </row>
    <row r="820">
      <c r="B820" s="9"/>
      <c r="C820" s="10"/>
      <c r="L820" s="4"/>
      <c r="M820" s="4"/>
      <c r="O820" s="4"/>
    </row>
    <row r="821">
      <c r="B821" s="9"/>
      <c r="C821" s="10"/>
      <c r="L821" s="4"/>
      <c r="M821" s="4"/>
      <c r="O821" s="4"/>
    </row>
    <row r="822">
      <c r="B822" s="9"/>
      <c r="C822" s="10"/>
      <c r="L822" s="4"/>
      <c r="M822" s="4"/>
      <c r="O822" s="4"/>
    </row>
    <row r="823">
      <c r="B823" s="9"/>
      <c r="C823" s="10"/>
      <c r="L823" s="4"/>
      <c r="M823" s="4"/>
      <c r="O823" s="4"/>
    </row>
    <row r="824">
      <c r="B824" s="9"/>
      <c r="C824" s="10"/>
      <c r="L824" s="4"/>
      <c r="M824" s="4"/>
      <c r="O824" s="4"/>
    </row>
    <row r="825">
      <c r="B825" s="9"/>
      <c r="C825" s="10"/>
      <c r="L825" s="4"/>
      <c r="M825" s="4"/>
      <c r="O825" s="4"/>
    </row>
    <row r="826">
      <c r="B826" s="9"/>
      <c r="C826" s="10"/>
      <c r="L826" s="4"/>
      <c r="M826" s="4"/>
      <c r="O826" s="4"/>
    </row>
    <row r="827">
      <c r="B827" s="9"/>
      <c r="C827" s="10"/>
      <c r="L827" s="4"/>
      <c r="M827" s="4"/>
      <c r="O827" s="4"/>
    </row>
    <row r="828">
      <c r="B828" s="9"/>
      <c r="C828" s="10"/>
      <c r="L828" s="4"/>
      <c r="M828" s="4"/>
      <c r="O828" s="4"/>
    </row>
    <row r="829">
      <c r="B829" s="9"/>
      <c r="C829" s="10"/>
      <c r="L829" s="4"/>
      <c r="M829" s="4"/>
      <c r="O829" s="4"/>
    </row>
    <row r="830">
      <c r="B830" s="9"/>
      <c r="C830" s="10"/>
      <c r="L830" s="4"/>
      <c r="M830" s="4"/>
      <c r="O830" s="4"/>
    </row>
    <row r="831">
      <c r="B831" s="9"/>
      <c r="C831" s="10"/>
      <c r="L831" s="4"/>
      <c r="M831" s="4"/>
      <c r="O831" s="4"/>
    </row>
    <row r="832">
      <c r="B832" s="9"/>
      <c r="C832" s="10"/>
      <c r="L832" s="4"/>
      <c r="M832" s="4"/>
      <c r="O832" s="4"/>
    </row>
    <row r="833">
      <c r="B833" s="9"/>
      <c r="C833" s="10"/>
      <c r="L833" s="4"/>
      <c r="M833" s="4"/>
      <c r="O833" s="4"/>
    </row>
    <row r="834">
      <c r="B834" s="9"/>
      <c r="C834" s="10"/>
      <c r="L834" s="4"/>
      <c r="M834" s="4"/>
      <c r="O834" s="4"/>
    </row>
    <row r="835">
      <c r="B835" s="9"/>
      <c r="C835" s="10"/>
      <c r="L835" s="4"/>
      <c r="M835" s="4"/>
      <c r="O835" s="4"/>
    </row>
    <row r="836">
      <c r="B836" s="9"/>
      <c r="C836" s="10"/>
      <c r="L836" s="4"/>
      <c r="M836" s="4"/>
      <c r="O836" s="4"/>
    </row>
    <row r="837">
      <c r="B837" s="9"/>
      <c r="C837" s="10"/>
      <c r="L837" s="4"/>
      <c r="M837" s="4"/>
      <c r="O837" s="4"/>
    </row>
    <row r="838">
      <c r="B838" s="9"/>
      <c r="C838" s="10"/>
      <c r="L838" s="4"/>
      <c r="M838" s="4"/>
      <c r="O838" s="4"/>
    </row>
    <row r="839">
      <c r="B839" s="9"/>
      <c r="C839" s="10"/>
      <c r="L839" s="4"/>
      <c r="M839" s="4"/>
      <c r="O839" s="4"/>
    </row>
    <row r="840">
      <c r="B840" s="9"/>
      <c r="C840" s="10"/>
      <c r="L840" s="4"/>
      <c r="M840" s="4"/>
      <c r="O840" s="4"/>
    </row>
    <row r="841">
      <c r="B841" s="9"/>
      <c r="C841" s="10"/>
      <c r="L841" s="4"/>
      <c r="M841" s="4"/>
      <c r="O841" s="4"/>
    </row>
    <row r="842">
      <c r="B842" s="9"/>
      <c r="C842" s="10"/>
      <c r="L842" s="4"/>
      <c r="M842" s="4"/>
      <c r="O842" s="4"/>
    </row>
    <row r="843">
      <c r="B843" s="9"/>
      <c r="C843" s="10"/>
      <c r="L843" s="4"/>
      <c r="M843" s="4"/>
      <c r="O843" s="4"/>
    </row>
    <row r="844">
      <c r="B844" s="9"/>
      <c r="C844" s="10"/>
      <c r="L844" s="4"/>
      <c r="M844" s="4"/>
      <c r="O844" s="4"/>
    </row>
    <row r="845">
      <c r="B845" s="9"/>
      <c r="C845" s="10"/>
      <c r="L845" s="4"/>
      <c r="M845" s="4"/>
      <c r="O845" s="4"/>
    </row>
    <row r="846">
      <c r="B846" s="9"/>
      <c r="C846" s="10"/>
      <c r="L846" s="4"/>
      <c r="M846" s="4"/>
      <c r="O846" s="4"/>
    </row>
    <row r="847">
      <c r="B847" s="9"/>
      <c r="C847" s="10"/>
      <c r="L847" s="4"/>
      <c r="M847" s="4"/>
      <c r="O847" s="4"/>
    </row>
    <row r="848">
      <c r="B848" s="9"/>
      <c r="C848" s="10"/>
      <c r="L848" s="4"/>
      <c r="M848" s="4"/>
      <c r="O848" s="4"/>
    </row>
    <row r="849">
      <c r="B849" s="9"/>
      <c r="C849" s="10"/>
      <c r="L849" s="4"/>
      <c r="M849" s="4"/>
      <c r="O849" s="4"/>
    </row>
    <row r="850">
      <c r="B850" s="9"/>
      <c r="C850" s="10"/>
      <c r="L850" s="4"/>
      <c r="M850" s="4"/>
      <c r="O850" s="4"/>
    </row>
    <row r="851">
      <c r="B851" s="9"/>
      <c r="C851" s="10"/>
      <c r="L851" s="4"/>
      <c r="M851" s="4"/>
      <c r="O851" s="4"/>
    </row>
    <row r="852">
      <c r="B852" s="9"/>
      <c r="C852" s="10"/>
      <c r="L852" s="4"/>
      <c r="M852" s="4"/>
      <c r="O852" s="4"/>
    </row>
    <row r="853">
      <c r="B853" s="9"/>
      <c r="C853" s="10"/>
      <c r="L853" s="4"/>
      <c r="M853" s="4"/>
      <c r="O853" s="4"/>
    </row>
    <row r="854">
      <c r="B854" s="9"/>
      <c r="C854" s="10"/>
      <c r="L854" s="4"/>
      <c r="M854" s="4"/>
      <c r="O854" s="4"/>
    </row>
    <row r="855">
      <c r="B855" s="9"/>
      <c r="C855" s="10"/>
      <c r="L855" s="4"/>
      <c r="M855" s="4"/>
      <c r="O855" s="4"/>
    </row>
    <row r="856">
      <c r="B856" s="9"/>
      <c r="C856" s="10"/>
      <c r="L856" s="4"/>
      <c r="M856" s="4"/>
      <c r="O856" s="4"/>
    </row>
    <row r="857">
      <c r="B857" s="9"/>
      <c r="C857" s="10"/>
      <c r="L857" s="4"/>
      <c r="M857" s="4"/>
      <c r="O857" s="4"/>
    </row>
    <row r="858">
      <c r="B858" s="9"/>
      <c r="C858" s="10"/>
      <c r="L858" s="4"/>
      <c r="M858" s="4"/>
      <c r="O858" s="4"/>
    </row>
    <row r="859">
      <c r="B859" s="9"/>
      <c r="C859" s="10"/>
      <c r="L859" s="4"/>
      <c r="M859" s="4"/>
      <c r="O859" s="4"/>
    </row>
    <row r="860">
      <c r="B860" s="9"/>
      <c r="C860" s="10"/>
      <c r="L860" s="4"/>
      <c r="M860" s="4"/>
      <c r="O860" s="4"/>
    </row>
    <row r="861">
      <c r="B861" s="9"/>
      <c r="C861" s="10"/>
      <c r="L861" s="4"/>
      <c r="M861" s="4"/>
      <c r="O861" s="4"/>
    </row>
    <row r="862">
      <c r="B862" s="9"/>
      <c r="C862" s="10"/>
      <c r="L862" s="4"/>
      <c r="M862" s="4"/>
      <c r="O862" s="4"/>
    </row>
    <row r="863">
      <c r="B863" s="9"/>
      <c r="C863" s="10"/>
      <c r="L863" s="4"/>
      <c r="M863" s="4"/>
      <c r="O863" s="4"/>
    </row>
    <row r="864">
      <c r="B864" s="9"/>
      <c r="C864" s="10"/>
      <c r="L864" s="4"/>
      <c r="M864" s="4"/>
      <c r="O864" s="4"/>
    </row>
    <row r="865">
      <c r="B865" s="9"/>
      <c r="C865" s="10"/>
      <c r="L865" s="4"/>
      <c r="M865" s="4"/>
      <c r="O865" s="4"/>
    </row>
    <row r="866">
      <c r="B866" s="9"/>
      <c r="C866" s="10"/>
      <c r="L866" s="4"/>
      <c r="M866" s="4"/>
      <c r="O866" s="4"/>
    </row>
    <row r="867">
      <c r="B867" s="9"/>
      <c r="C867" s="10"/>
      <c r="L867" s="4"/>
      <c r="M867" s="4"/>
      <c r="O867" s="4"/>
    </row>
    <row r="868">
      <c r="B868" s="9"/>
      <c r="C868" s="10"/>
      <c r="L868" s="4"/>
      <c r="M868" s="4"/>
      <c r="O868" s="4"/>
    </row>
    <row r="869">
      <c r="B869" s="9"/>
      <c r="C869" s="10"/>
      <c r="L869" s="4"/>
      <c r="M869" s="4"/>
      <c r="O869" s="4"/>
    </row>
    <row r="870">
      <c r="B870" s="9"/>
      <c r="C870" s="10"/>
      <c r="L870" s="4"/>
      <c r="M870" s="4"/>
      <c r="O870" s="4"/>
    </row>
    <row r="871">
      <c r="B871" s="9"/>
      <c r="C871" s="10"/>
      <c r="L871" s="4"/>
      <c r="M871" s="4"/>
      <c r="O871" s="4"/>
    </row>
    <row r="872">
      <c r="B872" s="9"/>
      <c r="C872" s="10"/>
      <c r="L872" s="4"/>
      <c r="M872" s="4"/>
      <c r="O872" s="4"/>
    </row>
    <row r="873">
      <c r="B873" s="9"/>
      <c r="C873" s="10"/>
      <c r="L873" s="4"/>
      <c r="M873" s="4"/>
      <c r="O873" s="4"/>
    </row>
    <row r="874">
      <c r="B874" s="9"/>
      <c r="C874" s="10"/>
      <c r="L874" s="4"/>
      <c r="M874" s="4"/>
      <c r="O874" s="4"/>
    </row>
    <row r="875">
      <c r="B875" s="9"/>
      <c r="C875" s="10"/>
      <c r="L875" s="4"/>
      <c r="M875" s="4"/>
      <c r="O875" s="4"/>
    </row>
    <row r="876">
      <c r="B876" s="9"/>
      <c r="C876" s="10"/>
      <c r="L876" s="4"/>
      <c r="M876" s="4"/>
      <c r="O876" s="4"/>
    </row>
    <row r="877">
      <c r="B877" s="9"/>
      <c r="C877" s="10"/>
      <c r="L877" s="4"/>
      <c r="M877" s="4"/>
      <c r="O877" s="4"/>
    </row>
    <row r="878">
      <c r="B878" s="9"/>
      <c r="C878" s="10"/>
      <c r="L878" s="4"/>
      <c r="M878" s="4"/>
      <c r="O878" s="4"/>
    </row>
    <row r="879">
      <c r="B879" s="9"/>
      <c r="C879" s="10"/>
      <c r="L879" s="4"/>
      <c r="M879" s="4"/>
      <c r="O879" s="4"/>
    </row>
    <row r="880">
      <c r="B880" s="9"/>
      <c r="C880" s="10"/>
      <c r="L880" s="4"/>
      <c r="M880" s="4"/>
      <c r="O880" s="4"/>
    </row>
    <row r="881">
      <c r="B881" s="9"/>
      <c r="C881" s="10"/>
      <c r="L881" s="4"/>
      <c r="M881" s="4"/>
      <c r="O881" s="4"/>
    </row>
    <row r="882">
      <c r="B882" s="9"/>
      <c r="C882" s="10"/>
      <c r="L882" s="4"/>
      <c r="M882" s="4"/>
      <c r="O882" s="4"/>
    </row>
    <row r="883">
      <c r="B883" s="9"/>
      <c r="C883" s="10"/>
      <c r="L883" s="4"/>
      <c r="M883" s="4"/>
      <c r="O883" s="4"/>
    </row>
    <row r="884">
      <c r="B884" s="9"/>
      <c r="C884" s="10"/>
      <c r="L884" s="4"/>
      <c r="M884" s="4"/>
      <c r="O884" s="4"/>
    </row>
    <row r="885">
      <c r="B885" s="9"/>
      <c r="C885" s="10"/>
      <c r="L885" s="4"/>
      <c r="M885" s="4"/>
      <c r="O885" s="4"/>
    </row>
    <row r="886">
      <c r="B886" s="9"/>
      <c r="C886" s="10"/>
      <c r="L886" s="4"/>
      <c r="M886" s="4"/>
      <c r="O886" s="4"/>
    </row>
    <row r="887">
      <c r="B887" s="9"/>
      <c r="C887" s="10"/>
      <c r="L887" s="4"/>
      <c r="M887" s="4"/>
      <c r="O887" s="4"/>
    </row>
    <row r="888">
      <c r="B888" s="9"/>
      <c r="C888" s="10"/>
      <c r="L888" s="4"/>
      <c r="M888" s="4"/>
      <c r="O888" s="4"/>
    </row>
    <row r="889">
      <c r="B889" s="9"/>
      <c r="C889" s="10"/>
      <c r="L889" s="4"/>
      <c r="M889" s="4"/>
      <c r="O889" s="4"/>
    </row>
    <row r="890">
      <c r="B890" s="9"/>
      <c r="C890" s="10"/>
      <c r="L890" s="4"/>
      <c r="M890" s="4"/>
      <c r="O890" s="4"/>
    </row>
    <row r="891">
      <c r="B891" s="9"/>
      <c r="C891" s="10"/>
      <c r="L891" s="4"/>
      <c r="M891" s="4"/>
      <c r="O891" s="4"/>
    </row>
    <row r="892">
      <c r="B892" s="9"/>
      <c r="C892" s="10"/>
      <c r="L892" s="4"/>
      <c r="M892" s="4"/>
      <c r="O892" s="4"/>
    </row>
    <row r="893">
      <c r="B893" s="9"/>
      <c r="C893" s="10"/>
      <c r="L893" s="4"/>
      <c r="M893" s="4"/>
      <c r="O893" s="4"/>
    </row>
    <row r="894">
      <c r="B894" s="9"/>
      <c r="C894" s="10"/>
      <c r="L894" s="4"/>
      <c r="M894" s="4"/>
      <c r="O894" s="4"/>
    </row>
    <row r="895">
      <c r="B895" s="9"/>
      <c r="C895" s="10"/>
      <c r="L895" s="4"/>
      <c r="M895" s="4"/>
      <c r="O895" s="4"/>
    </row>
    <row r="896">
      <c r="B896" s="9"/>
      <c r="C896" s="10"/>
      <c r="L896" s="4"/>
      <c r="M896" s="4"/>
      <c r="O896" s="4"/>
    </row>
    <row r="897">
      <c r="B897" s="9"/>
      <c r="C897" s="10"/>
      <c r="L897" s="4"/>
      <c r="M897" s="4"/>
      <c r="O897" s="4"/>
    </row>
    <row r="898">
      <c r="B898" s="9"/>
      <c r="C898" s="10"/>
      <c r="L898" s="4"/>
      <c r="M898" s="4"/>
      <c r="O898" s="4"/>
    </row>
    <row r="899">
      <c r="B899" s="9"/>
      <c r="C899" s="10"/>
      <c r="L899" s="4"/>
      <c r="M899" s="4"/>
      <c r="O899" s="4"/>
    </row>
    <row r="900">
      <c r="B900" s="9"/>
      <c r="C900" s="10"/>
      <c r="L900" s="4"/>
      <c r="M900" s="4"/>
      <c r="O900" s="4"/>
    </row>
    <row r="901">
      <c r="B901" s="9"/>
      <c r="C901" s="10"/>
      <c r="L901" s="4"/>
      <c r="M901" s="4"/>
      <c r="O901" s="4"/>
    </row>
    <row r="902">
      <c r="B902" s="9"/>
      <c r="C902" s="10"/>
      <c r="L902" s="4"/>
      <c r="M902" s="4"/>
      <c r="O902" s="4"/>
    </row>
    <row r="903">
      <c r="B903" s="9"/>
      <c r="C903" s="10"/>
      <c r="L903" s="4"/>
      <c r="M903" s="4"/>
      <c r="O903" s="4"/>
    </row>
    <row r="904">
      <c r="B904" s="9"/>
      <c r="C904" s="10"/>
      <c r="L904" s="4"/>
      <c r="M904" s="4"/>
      <c r="O904" s="4"/>
    </row>
    <row r="905">
      <c r="B905" s="9"/>
      <c r="C905" s="10"/>
      <c r="L905" s="4"/>
      <c r="M905" s="4"/>
      <c r="O905" s="4"/>
    </row>
    <row r="906">
      <c r="B906" s="9"/>
      <c r="C906" s="10"/>
      <c r="L906" s="4"/>
      <c r="M906" s="4"/>
      <c r="O906" s="4"/>
    </row>
    <row r="907">
      <c r="B907" s="9"/>
      <c r="C907" s="10"/>
      <c r="L907" s="4"/>
      <c r="M907" s="4"/>
      <c r="O907" s="4"/>
    </row>
    <row r="908">
      <c r="B908" s="9"/>
      <c r="C908" s="10"/>
      <c r="L908" s="4"/>
      <c r="M908" s="4"/>
      <c r="O908" s="4"/>
    </row>
    <row r="909">
      <c r="B909" s="9"/>
      <c r="C909" s="10"/>
      <c r="L909" s="4"/>
      <c r="M909" s="4"/>
      <c r="O909" s="4"/>
    </row>
    <row r="910">
      <c r="B910" s="9"/>
      <c r="C910" s="10"/>
      <c r="L910" s="4"/>
      <c r="M910" s="4"/>
      <c r="O910" s="4"/>
    </row>
    <row r="911">
      <c r="B911" s="9"/>
      <c r="C911" s="10"/>
      <c r="L911" s="4"/>
      <c r="M911" s="4"/>
      <c r="O911" s="4"/>
    </row>
    <row r="912">
      <c r="B912" s="9"/>
      <c r="C912" s="10"/>
      <c r="L912" s="4"/>
      <c r="M912" s="4"/>
      <c r="O912" s="4"/>
    </row>
    <row r="913">
      <c r="B913" s="9"/>
      <c r="C913" s="10"/>
      <c r="L913" s="4"/>
      <c r="M913" s="4"/>
      <c r="O913" s="4"/>
    </row>
    <row r="914">
      <c r="B914" s="9"/>
      <c r="C914" s="10"/>
      <c r="L914" s="4"/>
      <c r="M914" s="4"/>
      <c r="O914" s="4"/>
    </row>
    <row r="915">
      <c r="B915" s="9"/>
      <c r="C915" s="10"/>
      <c r="L915" s="4"/>
      <c r="M915" s="4"/>
      <c r="O915" s="4"/>
    </row>
    <row r="916">
      <c r="B916" s="9"/>
      <c r="C916" s="10"/>
      <c r="L916" s="4"/>
      <c r="M916" s="4"/>
      <c r="O916" s="4"/>
    </row>
    <row r="917">
      <c r="B917" s="9"/>
      <c r="C917" s="10"/>
      <c r="L917" s="4"/>
      <c r="M917" s="4"/>
      <c r="O917" s="4"/>
    </row>
    <row r="918">
      <c r="B918" s="9"/>
      <c r="C918" s="10"/>
      <c r="L918" s="4"/>
      <c r="M918" s="4"/>
      <c r="O918" s="4"/>
    </row>
    <row r="919">
      <c r="B919" s="9"/>
      <c r="C919" s="10"/>
      <c r="L919" s="4"/>
      <c r="M919" s="4"/>
      <c r="O919" s="4"/>
    </row>
    <row r="920">
      <c r="B920" s="9"/>
      <c r="C920" s="10"/>
      <c r="L920" s="4"/>
      <c r="M920" s="4"/>
      <c r="O920" s="4"/>
    </row>
    <row r="921">
      <c r="B921" s="9"/>
      <c r="C921" s="10"/>
      <c r="L921" s="4"/>
      <c r="M921" s="4"/>
      <c r="O921" s="4"/>
    </row>
    <row r="922">
      <c r="B922" s="9"/>
      <c r="C922" s="10"/>
      <c r="L922" s="4"/>
      <c r="M922" s="4"/>
      <c r="O922" s="4"/>
    </row>
    <row r="923">
      <c r="B923" s="9"/>
      <c r="C923" s="10"/>
      <c r="L923" s="4"/>
      <c r="M923" s="4"/>
      <c r="O923" s="4"/>
    </row>
    <row r="924">
      <c r="B924" s="9"/>
      <c r="C924" s="10"/>
      <c r="L924" s="4"/>
      <c r="M924" s="4"/>
      <c r="O924" s="4"/>
    </row>
    <row r="925">
      <c r="B925" s="9"/>
      <c r="C925" s="10"/>
      <c r="L925" s="4"/>
      <c r="M925" s="4"/>
      <c r="O925" s="4"/>
    </row>
    <row r="926">
      <c r="B926" s="9"/>
      <c r="C926" s="10"/>
      <c r="L926" s="4"/>
      <c r="M926" s="4"/>
      <c r="O926" s="4"/>
    </row>
    <row r="927">
      <c r="B927" s="9"/>
      <c r="C927" s="10"/>
      <c r="L927" s="4"/>
      <c r="M927" s="4"/>
      <c r="O927" s="4"/>
    </row>
    <row r="928">
      <c r="B928" s="9"/>
      <c r="C928" s="10"/>
      <c r="L928" s="4"/>
      <c r="M928" s="4"/>
      <c r="O928" s="4"/>
    </row>
    <row r="929">
      <c r="B929" s="9"/>
      <c r="C929" s="10"/>
      <c r="L929" s="4"/>
      <c r="M929" s="4"/>
      <c r="O929" s="4"/>
    </row>
    <row r="930">
      <c r="B930" s="9"/>
      <c r="C930" s="10"/>
      <c r="L930" s="4"/>
      <c r="M930" s="4"/>
      <c r="O930" s="4"/>
    </row>
    <row r="931">
      <c r="B931" s="9"/>
      <c r="C931" s="10"/>
      <c r="L931" s="4"/>
      <c r="M931" s="4"/>
      <c r="O931" s="4"/>
    </row>
    <row r="932">
      <c r="B932" s="9"/>
      <c r="C932" s="10"/>
      <c r="L932" s="4"/>
      <c r="M932" s="4"/>
      <c r="O932" s="4"/>
    </row>
    <row r="933">
      <c r="B933" s="9"/>
      <c r="C933" s="10"/>
      <c r="L933" s="4"/>
      <c r="M933" s="4"/>
      <c r="O933" s="4"/>
    </row>
    <row r="934">
      <c r="B934" s="9"/>
      <c r="C934" s="10"/>
      <c r="L934" s="4"/>
      <c r="M934" s="4"/>
      <c r="O934" s="4"/>
    </row>
    <row r="935">
      <c r="B935" s="9"/>
      <c r="C935" s="10"/>
      <c r="L935" s="4"/>
      <c r="M935" s="4"/>
      <c r="O935" s="4"/>
    </row>
    <row r="936">
      <c r="B936" s="9"/>
      <c r="C936" s="10"/>
      <c r="L936" s="4"/>
      <c r="M936" s="4"/>
      <c r="O936" s="4"/>
    </row>
    <row r="937">
      <c r="B937" s="9"/>
      <c r="C937" s="10"/>
      <c r="L937" s="4"/>
      <c r="M937" s="4"/>
      <c r="O937" s="4"/>
    </row>
    <row r="938">
      <c r="B938" s="9"/>
      <c r="C938" s="10"/>
      <c r="L938" s="4"/>
      <c r="M938" s="4"/>
      <c r="O938" s="4"/>
    </row>
    <row r="939">
      <c r="B939" s="9"/>
      <c r="C939" s="10"/>
      <c r="L939" s="4"/>
      <c r="M939" s="4"/>
      <c r="O939" s="4"/>
    </row>
    <row r="940">
      <c r="B940" s="9"/>
      <c r="C940" s="10"/>
      <c r="L940" s="4"/>
      <c r="M940" s="4"/>
      <c r="O940" s="4"/>
    </row>
    <row r="941">
      <c r="B941" s="9"/>
      <c r="C941" s="10"/>
      <c r="L941" s="4"/>
      <c r="M941" s="4"/>
      <c r="O941" s="4"/>
    </row>
    <row r="942">
      <c r="B942" s="9"/>
      <c r="C942" s="10"/>
      <c r="L942" s="4"/>
      <c r="M942" s="4"/>
      <c r="O942" s="4"/>
    </row>
    <row r="943">
      <c r="B943" s="9"/>
      <c r="C943" s="10"/>
      <c r="L943" s="4"/>
      <c r="M943" s="4"/>
      <c r="O943" s="4"/>
    </row>
    <row r="944">
      <c r="B944" s="9"/>
      <c r="C944" s="10"/>
      <c r="L944" s="4"/>
      <c r="M944" s="4"/>
      <c r="O944" s="4"/>
    </row>
    <row r="945">
      <c r="B945" s="9"/>
      <c r="C945" s="10"/>
      <c r="L945" s="4"/>
      <c r="M945" s="4"/>
      <c r="O945" s="4"/>
    </row>
    <row r="946">
      <c r="B946" s="9"/>
      <c r="C946" s="10"/>
      <c r="L946" s="4"/>
      <c r="M946" s="4"/>
      <c r="O946" s="4"/>
    </row>
    <row r="947">
      <c r="B947" s="9"/>
      <c r="C947" s="10"/>
      <c r="L947" s="4"/>
      <c r="M947" s="4"/>
      <c r="O947" s="4"/>
    </row>
    <row r="948">
      <c r="B948" s="9"/>
      <c r="C948" s="10"/>
      <c r="L948" s="4"/>
      <c r="M948" s="4"/>
      <c r="O948" s="4"/>
    </row>
    <row r="949">
      <c r="B949" s="9"/>
      <c r="C949" s="10"/>
      <c r="L949" s="4"/>
      <c r="M949" s="4"/>
      <c r="O949" s="4"/>
    </row>
    <row r="950">
      <c r="B950" s="9"/>
      <c r="C950" s="10"/>
      <c r="L950" s="4"/>
      <c r="M950" s="4"/>
      <c r="O950" s="4"/>
    </row>
    <row r="951">
      <c r="B951" s="9"/>
      <c r="C951" s="10"/>
      <c r="L951" s="4"/>
      <c r="M951" s="4"/>
      <c r="O951" s="4"/>
    </row>
    <row r="952">
      <c r="B952" s="9"/>
      <c r="C952" s="10"/>
      <c r="L952" s="4"/>
      <c r="M952" s="4"/>
      <c r="O952" s="4"/>
    </row>
    <row r="953">
      <c r="B953" s="9"/>
      <c r="C953" s="10"/>
      <c r="L953" s="4"/>
      <c r="M953" s="4"/>
      <c r="O953" s="4"/>
    </row>
    <row r="954">
      <c r="B954" s="9"/>
      <c r="C954" s="10"/>
      <c r="L954" s="4"/>
      <c r="M954" s="4"/>
      <c r="O954" s="4"/>
    </row>
    <row r="955">
      <c r="B955" s="9"/>
      <c r="C955" s="10"/>
      <c r="L955" s="4"/>
      <c r="M955" s="4"/>
      <c r="O955" s="4"/>
    </row>
    <row r="956">
      <c r="B956" s="9"/>
      <c r="C956" s="10"/>
      <c r="L956" s="4"/>
      <c r="M956" s="4"/>
      <c r="O956" s="4"/>
    </row>
    <row r="957">
      <c r="B957" s="9"/>
      <c r="C957" s="10"/>
      <c r="L957" s="4"/>
      <c r="M957" s="4"/>
      <c r="O957" s="4"/>
    </row>
    <row r="958">
      <c r="B958" s="9"/>
      <c r="C958" s="10"/>
      <c r="L958" s="4"/>
      <c r="M958" s="4"/>
      <c r="O958" s="4"/>
    </row>
    <row r="959">
      <c r="B959" s="9"/>
      <c r="C959" s="10"/>
      <c r="L959" s="4"/>
      <c r="M959" s="4"/>
      <c r="O959" s="4"/>
    </row>
    <row r="960">
      <c r="B960" s="9"/>
      <c r="C960" s="10"/>
      <c r="L960" s="4"/>
      <c r="M960" s="4"/>
      <c r="O960" s="4"/>
    </row>
    <row r="961">
      <c r="B961" s="9"/>
      <c r="C961" s="10"/>
      <c r="L961" s="4"/>
      <c r="M961" s="4"/>
      <c r="O961" s="4"/>
    </row>
    <row r="962">
      <c r="B962" s="9"/>
      <c r="C962" s="10"/>
      <c r="L962" s="4"/>
      <c r="M962" s="4"/>
      <c r="O962" s="4"/>
    </row>
    <row r="963">
      <c r="B963" s="9"/>
      <c r="C963" s="10"/>
      <c r="L963" s="4"/>
      <c r="M963" s="4"/>
      <c r="O963" s="4"/>
    </row>
    <row r="964">
      <c r="B964" s="9"/>
      <c r="C964" s="10"/>
      <c r="L964" s="4"/>
      <c r="M964" s="4"/>
      <c r="O964" s="4"/>
    </row>
    <row r="965">
      <c r="B965" s="9"/>
      <c r="C965" s="10"/>
      <c r="L965" s="4"/>
      <c r="M965" s="4"/>
      <c r="O965" s="4"/>
    </row>
    <row r="966">
      <c r="B966" s="9"/>
      <c r="C966" s="10"/>
      <c r="L966" s="4"/>
      <c r="M966" s="4"/>
      <c r="O966" s="4"/>
    </row>
    <row r="967">
      <c r="B967" s="9"/>
      <c r="C967" s="10"/>
      <c r="L967" s="4"/>
      <c r="M967" s="4"/>
      <c r="O967" s="4"/>
    </row>
    <row r="968">
      <c r="B968" s="9"/>
      <c r="C968" s="10"/>
      <c r="L968" s="4"/>
      <c r="M968" s="4"/>
      <c r="O968" s="4"/>
    </row>
    <row r="969">
      <c r="B969" s="9"/>
      <c r="C969" s="10"/>
      <c r="L969" s="4"/>
      <c r="M969" s="4"/>
      <c r="O969" s="4"/>
    </row>
    <row r="970">
      <c r="B970" s="9"/>
      <c r="C970" s="10"/>
      <c r="L970" s="4"/>
      <c r="M970" s="4"/>
      <c r="O970" s="4"/>
    </row>
    <row r="971">
      <c r="B971" s="9"/>
      <c r="C971" s="10"/>
      <c r="L971" s="4"/>
      <c r="M971" s="4"/>
      <c r="O971" s="4"/>
    </row>
    <row r="972">
      <c r="B972" s="9"/>
      <c r="C972" s="10"/>
      <c r="L972" s="4"/>
      <c r="M972" s="4"/>
      <c r="O972" s="4"/>
    </row>
    <row r="973">
      <c r="B973" s="9"/>
      <c r="C973" s="10"/>
      <c r="L973" s="4"/>
      <c r="M973" s="4"/>
      <c r="O973" s="4"/>
    </row>
    <row r="974">
      <c r="B974" s="9"/>
      <c r="C974" s="10"/>
      <c r="L974" s="4"/>
      <c r="M974" s="4"/>
      <c r="O974" s="4"/>
    </row>
    <row r="975">
      <c r="B975" s="9"/>
      <c r="C975" s="10"/>
      <c r="L975" s="4"/>
      <c r="M975" s="4"/>
      <c r="O975" s="4"/>
    </row>
    <row r="976">
      <c r="B976" s="9"/>
      <c r="C976" s="10"/>
      <c r="L976" s="4"/>
      <c r="M976" s="4"/>
      <c r="O976" s="4"/>
    </row>
    <row r="977">
      <c r="B977" s="9"/>
      <c r="C977" s="10"/>
      <c r="L977" s="4"/>
      <c r="M977" s="4"/>
      <c r="O977" s="4"/>
    </row>
    <row r="978">
      <c r="B978" s="9"/>
      <c r="C978" s="10"/>
      <c r="L978" s="4"/>
      <c r="M978" s="4"/>
      <c r="O978" s="4"/>
    </row>
    <row r="979">
      <c r="B979" s="9"/>
      <c r="C979" s="10"/>
      <c r="L979" s="4"/>
      <c r="M979" s="4"/>
      <c r="O979" s="4"/>
    </row>
    <row r="980">
      <c r="B980" s="9"/>
      <c r="C980" s="10"/>
      <c r="L980" s="4"/>
      <c r="M980" s="4"/>
      <c r="O980" s="4"/>
    </row>
    <row r="981">
      <c r="B981" s="9"/>
      <c r="C981" s="10"/>
      <c r="L981" s="4"/>
      <c r="M981" s="4"/>
      <c r="O981" s="4"/>
    </row>
    <row r="982">
      <c r="B982" s="9"/>
      <c r="C982" s="10"/>
      <c r="L982" s="4"/>
      <c r="M982" s="4"/>
      <c r="O982" s="4"/>
    </row>
    <row r="983">
      <c r="B983" s="9"/>
      <c r="C983" s="10"/>
      <c r="L983" s="4"/>
      <c r="M983" s="4"/>
      <c r="O983" s="4"/>
    </row>
    <row r="984">
      <c r="B984" s="9"/>
      <c r="C984" s="10"/>
      <c r="L984" s="4"/>
      <c r="M984" s="4"/>
      <c r="O984" s="4"/>
    </row>
    <row r="985">
      <c r="B985" s="9"/>
      <c r="C985" s="10"/>
      <c r="L985" s="4"/>
      <c r="M985" s="4"/>
      <c r="O985" s="4"/>
    </row>
    <row r="986">
      <c r="B986" s="9"/>
      <c r="C986" s="10"/>
      <c r="L986" s="4"/>
      <c r="M986" s="4"/>
      <c r="O986" s="4"/>
    </row>
    <row r="987">
      <c r="B987" s="9"/>
      <c r="C987" s="10"/>
      <c r="L987" s="4"/>
      <c r="M987" s="4"/>
      <c r="O987" s="4"/>
    </row>
    <row r="988">
      <c r="B988" s="9"/>
      <c r="C988" s="10"/>
      <c r="L988" s="4"/>
      <c r="M988" s="4"/>
      <c r="O988" s="4"/>
    </row>
    <row r="989">
      <c r="B989" s="9"/>
      <c r="C989" s="10"/>
      <c r="L989" s="4"/>
      <c r="M989" s="4"/>
      <c r="O989" s="4"/>
    </row>
    <row r="990">
      <c r="B990" s="9"/>
      <c r="C990" s="10"/>
      <c r="L990" s="4"/>
      <c r="M990" s="4"/>
      <c r="O990" s="4"/>
    </row>
    <row r="991">
      <c r="B991" s="9"/>
      <c r="C991" s="10"/>
      <c r="L991" s="4"/>
      <c r="M991" s="4"/>
      <c r="O991" s="4"/>
    </row>
    <row r="992">
      <c r="B992" s="9"/>
      <c r="C992" s="10"/>
      <c r="L992" s="4"/>
      <c r="M992" s="4"/>
      <c r="O992" s="4"/>
    </row>
    <row r="993">
      <c r="B993" s="9"/>
      <c r="C993" s="10"/>
      <c r="L993" s="4"/>
      <c r="M993" s="4"/>
      <c r="O993" s="4"/>
    </row>
  </sheetData>
  <dataValidations>
    <dataValidation type="list" allowBlank="1" showErrorMessage="1" sqref="O2:O993">
      <formula1>"ApplyBuffDebuff,FlatBonus,ModifyNextDraw,Multiplier,None,RepeatCast,TriggerNeighborSlot"</formula1>
    </dataValidation>
    <dataValidation type="list" allowBlank="1" showErrorMessage="1" sqref="L2:L993">
      <formula1>"FALSE,TRUE"</formula1>
    </dataValidation>
    <dataValidation type="list" allowBlank="1" showErrorMessage="1" sqref="M2:M993">
      <formula1>"HandCount,NeighborCardType,None,PrevSlotOwner,SlotIndexRestriction,HandType"</formula1>
    </dataValidation>
    <dataValidation type="list" allowBlank="1" showErrorMessage="1" sqref="B2:B10">
      <formula1>"Attack,Defense,Heal,Buff,Debuff"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  <col customWidth="1" min="3" max="3" width="14.5"/>
    <col customWidth="1" min="4" max="4" width="17.5"/>
    <col customWidth="1" min="5" max="5" width="14.25"/>
  </cols>
  <sheetData>
    <row r="1">
      <c r="A1" s="1" t="s">
        <v>2</v>
      </c>
      <c r="B1" s="1" t="s">
        <v>4</v>
      </c>
      <c r="C1" s="1" t="s">
        <v>5</v>
      </c>
      <c r="D1" s="1" t="s">
        <v>6</v>
      </c>
      <c r="E1" s="1" t="s">
        <v>8</v>
      </c>
      <c r="F1" s="1" t="s">
        <v>9</v>
      </c>
      <c r="G1" s="1" t="s">
        <v>10</v>
      </c>
      <c r="H1" s="1" t="s">
        <v>12</v>
      </c>
    </row>
    <row r="2">
      <c r="A2" s="1">
        <v>1001.0</v>
      </c>
      <c r="B2" s="4" t="str">
        <f>"CHARNAME_"&amp;A2</f>
        <v>CHARNAME_1001</v>
      </c>
      <c r="C2" s="4" t="str">
        <f>"CHARDES_"&amp;A2</f>
        <v>CHARDES_1001</v>
      </c>
      <c r="D2" s="4" t="str">
        <f>"CHARPLAYST_"&amp;A2</f>
        <v>CHARPLAYST_1001</v>
      </c>
      <c r="E2" s="1" t="s">
        <v>46</v>
      </c>
      <c r="F2" s="1">
        <v>1.0</v>
      </c>
      <c r="G2" s="1">
        <v>50.0</v>
      </c>
      <c r="H2" s="1">
        <v>3.0</v>
      </c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45.5"/>
    <col customWidth="1" min="3" max="3" width="52.88"/>
  </cols>
  <sheetData>
    <row r="1">
      <c r="A1" s="1" t="s">
        <v>11</v>
      </c>
      <c r="B1" s="3" t="s">
        <v>25</v>
      </c>
      <c r="C1" s="3" t="s">
        <v>26</v>
      </c>
      <c r="D1" s="3" t="s">
        <v>27</v>
      </c>
    </row>
    <row r="2">
      <c r="A2" s="1" t="s">
        <v>28</v>
      </c>
      <c r="B2" s="1" t="s">
        <v>29</v>
      </c>
      <c r="C2" s="1" t="s">
        <v>30</v>
      </c>
    </row>
    <row r="3">
      <c r="A3" s="1" t="s">
        <v>31</v>
      </c>
      <c r="B3" s="1" t="s">
        <v>32</v>
      </c>
      <c r="C3" s="1" t="s">
        <v>33</v>
      </c>
    </row>
    <row r="4">
      <c r="A4" s="1" t="s">
        <v>34</v>
      </c>
      <c r="B4" s="1" t="s">
        <v>35</v>
      </c>
      <c r="C4" s="1" t="s">
        <v>36</v>
      </c>
    </row>
    <row r="5">
      <c r="A5" s="1" t="s">
        <v>37</v>
      </c>
      <c r="B5" s="1" t="s">
        <v>38</v>
      </c>
      <c r="C5" s="1" t="s">
        <v>39</v>
      </c>
    </row>
    <row r="6">
      <c r="A6" s="1" t="s">
        <v>40</v>
      </c>
      <c r="B6" s="1" t="s">
        <v>41</v>
      </c>
      <c r="C6" s="1" t="s">
        <v>42</v>
      </c>
    </row>
    <row r="7">
      <c r="A7" s="1" t="s">
        <v>43</v>
      </c>
      <c r="B7" s="1" t="s">
        <v>44</v>
      </c>
      <c r="C7" s="1" t="s">
        <v>45</v>
      </c>
    </row>
    <row r="8">
      <c r="A8" s="1"/>
      <c r="B8" s="1"/>
      <c r="C8" s="1"/>
    </row>
    <row r="9">
      <c r="A9" s="1" t="str">
        <f>Character!B2</f>
        <v>CHARNAME_1001</v>
      </c>
      <c r="B9" s="1"/>
      <c r="C9" s="1"/>
    </row>
    <row r="10">
      <c r="A10" s="1" t="str">
        <f>Character!C2</f>
        <v>CHARDES_1001</v>
      </c>
      <c r="B10" s="1"/>
      <c r="C10" s="1"/>
    </row>
    <row r="11">
      <c r="A11" s="1" t="str">
        <f>Character!D2</f>
        <v>CHARPLAYST_1001</v>
      </c>
      <c r="B11" s="1"/>
      <c r="C11" s="1"/>
    </row>
    <row r="12">
      <c r="A12" s="1"/>
      <c r="B12" s="1"/>
      <c r="C12" s="1"/>
    </row>
    <row r="13">
      <c r="A13" s="1" t="str">
        <f>Monster!B2</f>
        <v>MONSTERNAME_2000</v>
      </c>
      <c r="B13" s="1"/>
      <c r="C13" s="1"/>
    </row>
    <row r="14">
      <c r="B14" s="1"/>
    </row>
    <row r="15">
      <c r="A15" s="4" t="str">
        <f>Card!D2</f>
        <v>CARDNAME_0</v>
      </c>
      <c r="B15" s="1" t="s">
        <v>48</v>
      </c>
      <c r="C15" s="1" t="s">
        <v>49</v>
      </c>
    </row>
    <row r="16">
      <c r="A16" s="4" t="str">
        <f>Card!D3</f>
        <v>CARDNAME_1</v>
      </c>
      <c r="B16" s="1" t="s">
        <v>50</v>
      </c>
      <c r="C16" s="1" t="s">
        <v>51</v>
      </c>
    </row>
    <row r="17">
      <c r="A17" s="4" t="str">
        <f>Card!D4</f>
        <v>CARDNAME_2</v>
      </c>
      <c r="B17" s="1" t="s">
        <v>53</v>
      </c>
      <c r="C17" s="1" t="s">
        <v>55</v>
      </c>
    </row>
    <row r="18">
      <c r="A18" s="4" t="str">
        <f>Card!D5</f>
        <v>CARDNAME_3</v>
      </c>
      <c r="B18" s="1" t="s">
        <v>57</v>
      </c>
      <c r="C18" s="1" t="s">
        <v>58</v>
      </c>
    </row>
    <row r="19">
      <c r="A19" s="4" t="str">
        <f>Card!D6</f>
        <v>CARDNAME_4</v>
      </c>
      <c r="B19" s="1" t="s">
        <v>59</v>
      </c>
      <c r="C19" s="1" t="s">
        <v>60</v>
      </c>
    </row>
    <row r="20">
      <c r="A20" s="4" t="str">
        <f>Card!D7</f>
        <v>CARDNAME_5</v>
      </c>
      <c r="B20" s="1" t="s">
        <v>62</v>
      </c>
      <c r="C20" s="1" t="s">
        <v>63</v>
      </c>
    </row>
    <row r="21">
      <c r="A21" s="4" t="str">
        <f>Card!D8</f>
        <v>CARDNAME_6</v>
      </c>
      <c r="B21" s="1" t="s">
        <v>65</v>
      </c>
      <c r="C21" s="1" t="s">
        <v>66</v>
      </c>
    </row>
    <row r="22">
      <c r="A22" s="4" t="str">
        <f>Card!D9</f>
        <v>CARDNAME_7</v>
      </c>
      <c r="B22" s="1" t="s">
        <v>68</v>
      </c>
      <c r="C22" s="1" t="s">
        <v>70</v>
      </c>
    </row>
    <row r="23">
      <c r="A23" s="4" t="str">
        <f>Card!D10</f>
        <v>CARDNAME_8</v>
      </c>
      <c r="B23" s="1" t="s">
        <v>72</v>
      </c>
      <c r="C23" s="1" t="s">
        <v>73</v>
      </c>
    </row>
    <row r="24">
      <c r="A24" s="4" t="str">
        <f t="shared" ref="A24:A28" si="1">#REF!</f>
        <v>#REF!</v>
      </c>
      <c r="B24" s="1" t="s">
        <v>35</v>
      </c>
      <c r="C24" s="1" t="s">
        <v>36</v>
      </c>
    </row>
    <row r="25">
      <c r="A25" s="4" t="str">
        <f t="shared" si="1"/>
        <v>#REF!</v>
      </c>
      <c r="B25" s="1" t="s">
        <v>76</v>
      </c>
      <c r="C25" s="1" t="s">
        <v>77</v>
      </c>
    </row>
    <row r="26">
      <c r="A26" s="4" t="str">
        <f t="shared" si="1"/>
        <v>#REF!</v>
      </c>
      <c r="B26" s="1" t="s">
        <v>78</v>
      </c>
      <c r="C26" s="1" t="s">
        <v>79</v>
      </c>
    </row>
    <row r="27">
      <c r="A27" s="4" t="str">
        <f t="shared" si="1"/>
        <v>#REF!</v>
      </c>
      <c r="B27" s="1" t="s">
        <v>81</v>
      </c>
      <c r="C27" s="1" t="s">
        <v>82</v>
      </c>
    </row>
    <row r="28">
      <c r="A28" s="4" t="str">
        <f t="shared" si="1"/>
        <v>#REF!</v>
      </c>
      <c r="B28" s="1" t="s">
        <v>83</v>
      </c>
      <c r="C28" s="1" t="s">
        <v>84</v>
      </c>
    </row>
    <row r="30">
      <c r="A30" s="4" t="str">
        <f>Card!E2</f>
        <v>CARDDESC_0</v>
      </c>
      <c r="B30" s="1" t="s">
        <v>90</v>
      </c>
      <c r="C30" s="1" t="s">
        <v>91</v>
      </c>
    </row>
    <row r="31">
      <c r="A31" s="4" t="str">
        <f>Card!E3</f>
        <v>CARDDESC_1</v>
      </c>
      <c r="B31" s="1" t="s">
        <v>90</v>
      </c>
      <c r="C31" s="1" t="s">
        <v>91</v>
      </c>
    </row>
    <row r="32">
      <c r="A32" s="4" t="str">
        <f>Card!E4</f>
        <v>CARDDESC_2</v>
      </c>
      <c r="B32" s="1" t="s">
        <v>90</v>
      </c>
      <c r="C32" s="1" t="s">
        <v>91</v>
      </c>
    </row>
    <row r="33">
      <c r="A33" s="4" t="str">
        <f>Card!E5</f>
        <v>CARDDESC_3</v>
      </c>
      <c r="B33" s="1" t="s">
        <v>90</v>
      </c>
      <c r="C33" s="1" t="s">
        <v>91</v>
      </c>
    </row>
    <row r="34">
      <c r="A34" s="4" t="str">
        <f>Card!E6</f>
        <v>CARDDESC_4</v>
      </c>
      <c r="B34" s="1" t="s">
        <v>97</v>
      </c>
      <c r="C34" s="1" t="s">
        <v>98</v>
      </c>
    </row>
    <row r="35">
      <c r="A35" s="4" t="str">
        <f>Card!E7</f>
        <v>CARDDESC_5</v>
      </c>
      <c r="B35" s="1" t="s">
        <v>97</v>
      </c>
      <c r="C35" s="1" t="s">
        <v>98</v>
      </c>
    </row>
    <row r="36">
      <c r="A36" s="4" t="str">
        <f>Card!E8</f>
        <v>CARDDESC_6</v>
      </c>
      <c r="B36" s="1" t="s">
        <v>97</v>
      </c>
      <c r="C36" s="1" t="s">
        <v>98</v>
      </c>
    </row>
    <row r="37">
      <c r="A37" s="4" t="str">
        <f>Card!E9</f>
        <v>CARDDESC_7</v>
      </c>
      <c r="B37" s="1" t="s">
        <v>97</v>
      </c>
      <c r="C37" s="1" t="s">
        <v>98</v>
      </c>
    </row>
    <row r="38">
      <c r="A38" s="4" t="str">
        <f>Card!E10</f>
        <v>CARDDESC_8</v>
      </c>
      <c r="B38" s="1" t="s">
        <v>101</v>
      </c>
      <c r="C38" s="1" t="s">
        <v>102</v>
      </c>
    </row>
    <row r="39">
      <c r="A39" s="4" t="str">
        <f t="shared" ref="A39:A43" si="2">#REF!</f>
        <v>#REF!</v>
      </c>
      <c r="B39" s="1" t="s">
        <v>101</v>
      </c>
      <c r="C39" s="1" t="s">
        <v>102</v>
      </c>
    </row>
    <row r="40">
      <c r="A40" s="4" t="str">
        <f t="shared" si="2"/>
        <v>#REF!</v>
      </c>
      <c r="B40" s="1" t="s">
        <v>103</v>
      </c>
      <c r="C40" s="1" t="s">
        <v>104</v>
      </c>
    </row>
    <row r="41">
      <c r="A41" s="4" t="str">
        <f t="shared" si="2"/>
        <v>#REF!</v>
      </c>
      <c r="B41" s="1" t="s">
        <v>103</v>
      </c>
      <c r="C41" s="1" t="s">
        <v>104</v>
      </c>
    </row>
    <row r="42">
      <c r="A42" s="4" t="str">
        <f t="shared" si="2"/>
        <v>#REF!</v>
      </c>
      <c r="B42" s="1" t="s">
        <v>105</v>
      </c>
      <c r="C42" s="1" t="s">
        <v>106</v>
      </c>
    </row>
    <row r="43">
      <c r="A43" s="4" t="str">
        <f t="shared" si="2"/>
        <v>#REF!</v>
      </c>
      <c r="B43" s="1" t="s">
        <v>105</v>
      </c>
      <c r="C43" s="1" t="s">
        <v>106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  <col customWidth="1" min="6" max="6" width="13.88"/>
  </cols>
  <sheetData>
    <row r="1">
      <c r="A1" s="1" t="s">
        <v>75</v>
      </c>
      <c r="B1" s="1" t="s">
        <v>80</v>
      </c>
      <c r="C1" s="1" t="s">
        <v>10</v>
      </c>
      <c r="D1" s="1" t="s">
        <v>85</v>
      </c>
      <c r="E1" s="1" t="s">
        <v>88</v>
      </c>
      <c r="F1" s="1" t="s">
        <v>89</v>
      </c>
      <c r="G1" s="1" t="s">
        <v>92</v>
      </c>
      <c r="H1" s="1" t="s">
        <v>93</v>
      </c>
    </row>
    <row r="2">
      <c r="A2" s="1">
        <v>2000.0</v>
      </c>
      <c r="B2" s="4" t="str">
        <f>"MONSTERNAME_"&amp;A2</f>
        <v>MONSTERNAME_2000</v>
      </c>
      <c r="C2" s="1">
        <v>80.0</v>
      </c>
      <c r="D2" s="1">
        <v>0.0</v>
      </c>
      <c r="E2" s="1">
        <v>-1.0</v>
      </c>
      <c r="F2" s="1">
        <v>1.0</v>
      </c>
      <c r="G2" s="1" t="s">
        <v>47</v>
      </c>
      <c r="H2" s="1">
        <v>0.0</v>
      </c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85</v>
      </c>
      <c r="B1" s="11" t="s">
        <v>109</v>
      </c>
      <c r="C1" s="11" t="s">
        <v>110</v>
      </c>
      <c r="D1" s="11" t="s">
        <v>111</v>
      </c>
      <c r="E1" s="11" t="s">
        <v>112</v>
      </c>
      <c r="F1" s="11" t="s">
        <v>113</v>
      </c>
      <c r="G1" s="11" t="s">
        <v>114</v>
      </c>
      <c r="H1" s="12"/>
    </row>
    <row r="2">
      <c r="A2" s="11">
        <v>0.0</v>
      </c>
      <c r="B2" s="11">
        <v>40.0</v>
      </c>
      <c r="C2" s="11">
        <v>35.0</v>
      </c>
      <c r="D2" s="11">
        <v>18.0</v>
      </c>
      <c r="E2" s="11">
        <v>7.0</v>
      </c>
      <c r="F2" s="11">
        <v>0.0</v>
      </c>
      <c r="G2" s="11">
        <v>0.0</v>
      </c>
      <c r="H2" s="13"/>
    </row>
    <row r="3">
      <c r="A3" s="11">
        <v>1.0</v>
      </c>
      <c r="B3" s="11">
        <v>15.0</v>
      </c>
      <c r="C3" s="11">
        <v>45.0</v>
      </c>
      <c r="D3" s="11">
        <v>25.0</v>
      </c>
      <c r="E3" s="11">
        <v>12.0</v>
      </c>
      <c r="F3" s="11">
        <v>3.0</v>
      </c>
      <c r="G3" s="11">
        <v>0.0</v>
      </c>
      <c r="H3" s="13"/>
    </row>
    <row r="4">
      <c r="A4" s="11">
        <v>2.0</v>
      </c>
      <c r="B4" s="11">
        <v>5.0</v>
      </c>
      <c r="C4" s="11">
        <v>25.0</v>
      </c>
      <c r="D4" s="11">
        <v>40.0</v>
      </c>
      <c r="E4" s="11">
        <v>20.0</v>
      </c>
      <c r="F4" s="11">
        <v>8.0</v>
      </c>
      <c r="G4" s="11">
        <v>2.0</v>
      </c>
      <c r="H4" s="13"/>
    </row>
    <row r="5">
      <c r="A5" s="11">
        <v>3.0</v>
      </c>
      <c r="B5" s="11">
        <v>2.0</v>
      </c>
      <c r="C5" s="11">
        <v>10.0</v>
      </c>
      <c r="D5" s="11">
        <v>28.0</v>
      </c>
      <c r="E5" s="11">
        <v>38.0</v>
      </c>
      <c r="F5" s="11">
        <v>18.0</v>
      </c>
      <c r="G5" s="11">
        <v>4.0</v>
      </c>
      <c r="H5" s="13"/>
    </row>
    <row r="6">
      <c r="A6" s="11">
        <v>4.0</v>
      </c>
      <c r="B6" s="11">
        <v>0.0</v>
      </c>
      <c r="C6" s="11">
        <v>5.0</v>
      </c>
      <c r="D6" s="11">
        <v>15.0</v>
      </c>
      <c r="E6" s="11">
        <v>25.0</v>
      </c>
      <c r="F6" s="11">
        <v>40.0</v>
      </c>
      <c r="G6" s="11">
        <v>15.0</v>
      </c>
      <c r="H6" s="13"/>
    </row>
    <row r="7">
      <c r="A7" s="11">
        <v>5.0</v>
      </c>
      <c r="B7" s="11">
        <v>0.0</v>
      </c>
      <c r="C7" s="11">
        <v>0.0</v>
      </c>
      <c r="D7" s="11">
        <v>8.0</v>
      </c>
      <c r="E7" s="11">
        <v>22.0</v>
      </c>
      <c r="F7" s="11">
        <v>35.0</v>
      </c>
      <c r="G7" s="11">
        <v>35.0</v>
      </c>
      <c r="H7" s="13"/>
    </row>
  </sheetData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115</v>
      </c>
    </row>
  </sheetData>
  <drawing r:id="rId1"/>
</worksheet>
</file>